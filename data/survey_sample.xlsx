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9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0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2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3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4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5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7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8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9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0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1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2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3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4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5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6.xml" ContentType="application/vnd.openxmlformats-officedocument.themeOverride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7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8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39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0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1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2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3.xml" ContentType="application/vnd.openxmlformats-officedocument.themeOverrid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4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5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6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7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48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49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0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1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2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3.xml" ContentType="application/vnd.openxmlformats-officedocument.themeOverrid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4.xml" ContentType="application/vnd.openxmlformats-officedocument.themeOverride+xml"/>
  <Override PartName="/xl/drawings/drawing4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5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6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7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58.xml" ContentType="application/vnd.openxmlformats-officedocument.themeOverrid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59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0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1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2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3.xml" ContentType="application/vnd.openxmlformats-officedocument.themeOverrid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theme/themeOverride64.xml" ContentType="application/vnd.openxmlformats-officedocument.themeOverrid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65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theme/themeOverride66.xml" ContentType="application/vnd.openxmlformats-officedocument.themeOverrid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67.xml" ContentType="application/vnd.openxmlformats-officedocument.themeOverrid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68.xml" ContentType="application/vnd.openxmlformats-officedocument.themeOverrid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69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70.xml" ContentType="application/vnd.openxmlformats-officedocument.themeOverrid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theme/themeOverride71.xml" ContentType="application/vnd.openxmlformats-officedocument.themeOverrid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theme/themeOverride72.xml" ContentType="application/vnd.openxmlformats-officedocument.themeOverride+xml"/>
  <Override PartName="/xl/drawings/drawing5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theme/themeOverride73.xml" ContentType="application/vnd.openxmlformats-officedocument.themeOverrid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74.xml" ContentType="application/vnd.openxmlformats-officedocument.themeOverrid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theme/themeOverride75.xml" ContentType="application/vnd.openxmlformats-officedocument.themeOverrid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theme/themeOverride76.xml" ContentType="application/vnd.openxmlformats-officedocument.themeOverrid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heme/themeOverride77.xml" ContentType="application/vnd.openxmlformats-officedocument.themeOverrid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theme/themeOverride78.xml" ContentType="application/vnd.openxmlformats-officedocument.themeOverrid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theme/themeOverride79.xml" ContentType="application/vnd.openxmlformats-officedocument.themeOverrid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theme/themeOverride80.xml" ContentType="application/vnd.openxmlformats-officedocument.themeOverrid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theme/themeOverride81.xml" ContentType="application/vnd.openxmlformats-officedocument.themeOverrid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theme/themeOverride82.xml" ContentType="application/vnd.openxmlformats-officedocument.themeOverrid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theme/themeOverride83.xml" ContentType="application/vnd.openxmlformats-officedocument.themeOverrid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theme/themeOverride84.xml" ContentType="application/vnd.openxmlformats-officedocument.themeOverrid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theme/themeOverride85.xml" ContentType="application/vnd.openxmlformats-officedocument.themeOverrid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theme/themeOverride86.xml" ContentType="application/vnd.openxmlformats-officedocument.themeOverrid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theme/themeOverride87.xml" ContentType="application/vnd.openxmlformats-officedocument.themeOverrid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theme/themeOverride88.xml" ContentType="application/vnd.openxmlformats-officedocument.themeOverrid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theme/themeOverride89.xml" ContentType="application/vnd.openxmlformats-officedocument.themeOverrid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theme/themeOverride90.xml" ContentType="application/vnd.openxmlformats-officedocument.themeOverride+xml"/>
  <Override PartName="/xl/drawings/drawing6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theme/themeOverride91.xml" ContentType="application/vnd.openxmlformats-officedocument.themeOverrid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theme/themeOverride92.xml" ContentType="application/vnd.openxmlformats-officedocument.themeOverride+xml"/>
  <Override PartName="/xl/drawings/drawing7.xml" ContentType="application/vnd.openxmlformats-officedocument.drawing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theme/themeOverride93.xml" ContentType="application/vnd.openxmlformats-officedocument.themeOverrid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theme/themeOverride94.xml" ContentType="application/vnd.openxmlformats-officedocument.themeOverrid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theme/themeOverride95.xml" ContentType="application/vnd.openxmlformats-officedocument.themeOverrid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theme/themeOverride96.xml" ContentType="application/vnd.openxmlformats-officedocument.themeOverrid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theme/themeOverride9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grimmett/Team Lapin Dropbox/Emily Grimmett/BUS DEV/Product Packaging/Trust Index/Files Shared with Caleb Goodman/"/>
    </mc:Choice>
  </mc:AlternateContent>
  <xr:revisionPtr revIDLastSave="0" documentId="13_ncr:1_{DBC85EBE-03C7-7F44-A94B-5017B9FD493D}" xr6:coauthVersionLast="47" xr6:coauthVersionMax="47" xr10:uidLastSave="{00000000-0000-0000-0000-000000000000}"/>
  <bookViews>
    <workbookView xWindow="6540" yWindow="1960" windowWidth="28020" windowHeight="16300" xr2:uid="{00000000-000D-0000-FFFF-FFFF00000000}"/>
  </bookViews>
  <sheets>
    <sheet name="Raw Data" sheetId="1" r:id="rId1"/>
    <sheet name="Grouped Data" sheetId="7" r:id="rId2"/>
    <sheet name="Communication" sheetId="2" r:id="rId3"/>
    <sheet name="Culture" sheetId="3" r:id="rId4"/>
    <sheet name="Inspiration" sheetId="4" r:id="rId5"/>
    <sheet name="Performance" sheetId="5" r:id="rId6"/>
    <sheet name="Wellbeing" sheetId="6" r:id="rId7"/>
    <sheet name="Highest &amp; Lowest Scores" sheetId="10" r:id="rId8"/>
    <sheet name="Line Graphs per Level" sheetId="9" r:id="rId9"/>
    <sheet name="4,5 Calculation" sheetId="8" r:id="rId10"/>
  </sheets>
  <definedNames>
    <definedName name="_xlnm._FilterDatabase" localSheetId="2" hidden="1">Communication!$P$171:$S$225</definedName>
    <definedName name="_xlnm._FilterDatabase" localSheetId="1" hidden="1">'Grouped Data'!$A$2:$AX$2</definedName>
    <definedName name="_xlnm._FilterDatabase" localSheetId="0" hidden="1">'Raw Data'!$A$2:$AW$2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2" i="5" l="1"/>
  <c r="P124" i="5"/>
  <c r="P125" i="5"/>
  <c r="P126" i="5"/>
  <c r="P116" i="5"/>
  <c r="P117" i="5"/>
  <c r="P118" i="5"/>
  <c r="P120" i="5"/>
  <c r="P121" i="5"/>
  <c r="P110" i="5"/>
  <c r="P112" i="5"/>
  <c r="P113" i="5"/>
  <c r="P114" i="5"/>
  <c r="P108" i="5"/>
  <c r="P109" i="5"/>
  <c r="P106" i="5"/>
  <c r="P105" i="5"/>
  <c r="P104" i="5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16" i="4"/>
  <c r="P117" i="4"/>
  <c r="P118" i="4"/>
  <c r="P115" i="4"/>
  <c r="P114" i="4"/>
  <c r="P113" i="4"/>
  <c r="O128" i="3"/>
  <c r="O129" i="3"/>
  <c r="O130" i="3"/>
  <c r="O131" i="3"/>
  <c r="O132" i="3"/>
  <c r="O125" i="3"/>
  <c r="O126" i="3"/>
  <c r="O127" i="3"/>
  <c r="O122" i="3"/>
  <c r="O123" i="3"/>
  <c r="O124" i="3"/>
  <c r="O117" i="3"/>
  <c r="O118" i="3"/>
  <c r="O119" i="3"/>
  <c r="O120" i="3"/>
  <c r="O121" i="3"/>
  <c r="O113" i="3"/>
  <c r="O114" i="3"/>
  <c r="O115" i="3"/>
  <c r="O116" i="3"/>
  <c r="O111" i="3"/>
  <c r="O112" i="3"/>
  <c r="O110" i="3"/>
  <c r="P131" i="2"/>
  <c r="P132" i="2"/>
  <c r="P133" i="2"/>
  <c r="P134" i="2"/>
  <c r="P127" i="2"/>
  <c r="P128" i="2"/>
  <c r="P129" i="2"/>
  <c r="P130" i="2"/>
  <c r="P119" i="2"/>
  <c r="P120" i="2"/>
  <c r="P121" i="2"/>
  <c r="P122" i="2"/>
  <c r="P123" i="2"/>
  <c r="P124" i="2"/>
  <c r="P125" i="2"/>
  <c r="P126" i="2"/>
  <c r="P115" i="2"/>
  <c r="P116" i="2"/>
  <c r="P117" i="2"/>
  <c r="P118" i="2"/>
  <c r="P113" i="2"/>
  <c r="P114" i="2"/>
  <c r="P112" i="2"/>
  <c r="P135" i="6"/>
  <c r="P136" i="6"/>
  <c r="P138" i="6"/>
  <c r="P139" i="6"/>
  <c r="P140" i="6"/>
  <c r="P142" i="6"/>
  <c r="P143" i="6"/>
  <c r="P144" i="6"/>
  <c r="P146" i="6"/>
  <c r="P147" i="6"/>
  <c r="P148" i="6"/>
  <c r="P150" i="6"/>
  <c r="P151" i="6"/>
  <c r="P152" i="6"/>
  <c r="P154" i="6"/>
  <c r="P155" i="6"/>
  <c r="P156" i="6"/>
  <c r="P134" i="6"/>
  <c r="Q130" i="6"/>
  <c r="P130" i="6"/>
  <c r="O130" i="6"/>
  <c r="N130" i="6"/>
  <c r="M130" i="6"/>
  <c r="L130" i="6"/>
  <c r="Q124" i="6"/>
  <c r="P124" i="6"/>
  <c r="O124" i="6"/>
  <c r="N124" i="6"/>
  <c r="M124" i="6"/>
  <c r="L124" i="6"/>
  <c r="Q118" i="6"/>
  <c r="P118" i="6"/>
  <c r="O118" i="6"/>
  <c r="N118" i="6"/>
  <c r="M118" i="6"/>
  <c r="L118" i="6"/>
  <c r="AA72" i="6" l="1"/>
  <c r="AB85" i="6"/>
  <c r="AC85" i="6"/>
  <c r="AD85" i="6"/>
  <c r="AE85" i="6"/>
  <c r="AF85" i="6"/>
  <c r="AB86" i="6"/>
  <c r="AC86" i="6"/>
  <c r="AD86" i="6"/>
  <c r="AE86" i="6"/>
  <c r="AF86" i="6"/>
  <c r="AA86" i="6"/>
  <c r="AA85" i="6"/>
  <c r="AB79" i="6"/>
  <c r="AB80" i="6" s="1"/>
  <c r="AB81" i="6" s="1"/>
  <c r="AC79" i="6"/>
  <c r="AD79" i="6"/>
  <c r="AE79" i="6"/>
  <c r="AF79" i="6"/>
  <c r="AA79" i="6"/>
  <c r="AB78" i="6"/>
  <c r="AC78" i="6"/>
  <c r="AD78" i="6"/>
  <c r="AE78" i="6"/>
  <c r="AE80" i="6" s="1"/>
  <c r="AE81" i="6" s="1"/>
  <c r="AF78" i="6"/>
  <c r="AA78" i="6"/>
  <c r="AB72" i="6"/>
  <c r="AC72" i="6"/>
  <c r="AD72" i="6"/>
  <c r="AE72" i="6"/>
  <c r="AF72" i="6"/>
  <c r="AE87" i="6"/>
  <c r="AE88" i="6" s="1"/>
  <c r="AA87" i="6"/>
  <c r="AA88" i="6" s="1"/>
  <c r="AB71" i="6"/>
  <c r="AC71" i="6"/>
  <c r="AD71" i="6"/>
  <c r="AE71" i="6"/>
  <c r="AE73" i="6" s="1"/>
  <c r="AE74" i="6" s="1"/>
  <c r="AF71" i="6"/>
  <c r="AF73" i="6" s="1"/>
  <c r="AF74" i="6" s="1"/>
  <c r="AA71" i="6"/>
  <c r="AA73" i="6" s="1"/>
  <c r="AA74" i="6" s="1"/>
  <c r="AA87" i="5"/>
  <c r="AB87" i="5"/>
  <c r="AC87" i="5"/>
  <c r="AC88" i="5" s="1"/>
  <c r="AC89" i="5" s="1"/>
  <c r="AD87" i="5"/>
  <c r="AE87" i="5"/>
  <c r="Z87" i="5"/>
  <c r="AA73" i="5"/>
  <c r="AA74" i="5" s="1"/>
  <c r="AA75" i="5" s="1"/>
  <c r="AB73" i="5"/>
  <c r="AC73" i="5"/>
  <c r="AC74" i="5" s="1"/>
  <c r="AC75" i="5" s="1"/>
  <c r="AD73" i="5"/>
  <c r="AE73" i="5"/>
  <c r="Z73" i="5"/>
  <c r="Z72" i="5"/>
  <c r="AA80" i="5"/>
  <c r="AA81" i="5" s="1"/>
  <c r="AA82" i="5" s="1"/>
  <c r="AB80" i="5"/>
  <c r="AC80" i="5"/>
  <c r="AD80" i="5"/>
  <c r="AD81" i="5" s="1"/>
  <c r="AD82" i="5" s="1"/>
  <c r="AE80" i="5"/>
  <c r="Z80" i="5"/>
  <c r="AA86" i="5"/>
  <c r="AB86" i="5"/>
  <c r="AC86" i="5"/>
  <c r="AD86" i="5"/>
  <c r="AE86" i="5"/>
  <c r="AA88" i="5"/>
  <c r="AA89" i="5" s="1"/>
  <c r="AE88" i="5"/>
  <c r="AE89" i="5" s="1"/>
  <c r="Z86" i="5"/>
  <c r="AA79" i="5"/>
  <c r="AB79" i="5"/>
  <c r="AC79" i="5"/>
  <c r="AD79" i="5"/>
  <c r="AE79" i="5"/>
  <c r="AC81" i="5"/>
  <c r="AC82" i="5" s="1"/>
  <c r="AE81" i="5"/>
  <c r="AE82" i="5" s="1"/>
  <c r="Z79" i="5"/>
  <c r="AA72" i="5"/>
  <c r="AB72" i="5"/>
  <c r="AB74" i="5" s="1"/>
  <c r="AB75" i="5" s="1"/>
  <c r="AC72" i="5"/>
  <c r="AD72" i="5"/>
  <c r="AE72" i="5"/>
  <c r="AD88" i="5"/>
  <c r="AD89" i="5" s="1"/>
  <c r="AB88" i="5"/>
  <c r="AB89" i="5" s="1"/>
  <c r="AB81" i="5"/>
  <c r="AB82" i="5" s="1"/>
  <c r="AD74" i="5"/>
  <c r="AD75" i="5" s="1"/>
  <c r="AE74" i="5"/>
  <c r="AE75" i="5" s="1"/>
  <c r="AC85" i="4"/>
  <c r="AD85" i="4"/>
  <c r="AE85" i="4"/>
  <c r="AF85" i="4"/>
  <c r="AG85" i="4"/>
  <c r="AG87" i="4" s="1"/>
  <c r="AG88" i="4" s="1"/>
  <c r="AC86" i="4"/>
  <c r="AC87" i="4" s="1"/>
  <c r="AC88" i="4" s="1"/>
  <c r="AD86" i="4"/>
  <c r="AE86" i="4"/>
  <c r="AF86" i="4"/>
  <c r="AG86" i="4"/>
  <c r="AB86" i="4"/>
  <c r="AB85" i="4"/>
  <c r="AC78" i="4"/>
  <c r="AC80" i="4" s="1"/>
  <c r="AC81" i="4" s="1"/>
  <c r="AD78" i="4"/>
  <c r="AE78" i="4"/>
  <c r="AF78" i="4"/>
  <c r="AG78" i="4"/>
  <c r="AC79" i="4"/>
  <c r="AD79" i="4"/>
  <c r="AD80" i="4" s="1"/>
  <c r="AD81" i="4" s="1"/>
  <c r="AE79" i="4"/>
  <c r="AE80" i="4" s="1"/>
  <c r="AE81" i="4" s="1"/>
  <c r="AF79" i="4"/>
  <c r="AF80" i="4" s="1"/>
  <c r="AF81" i="4" s="1"/>
  <c r="AG79" i="4"/>
  <c r="AB79" i="4"/>
  <c r="AB78" i="4"/>
  <c r="AD87" i="4"/>
  <c r="AD88" i="4" s="1"/>
  <c r="AF87" i="4"/>
  <c r="AF88" i="4" s="1"/>
  <c r="AG80" i="4"/>
  <c r="AG81" i="4" s="1"/>
  <c r="AC73" i="4"/>
  <c r="AC74" i="4" s="1"/>
  <c r="AD73" i="4"/>
  <c r="AD74" i="4" s="1"/>
  <c r="AC71" i="4"/>
  <c r="AD71" i="4"/>
  <c r="AE71" i="4"/>
  <c r="AE73" i="4" s="1"/>
  <c r="AE74" i="4" s="1"/>
  <c r="AF71" i="4"/>
  <c r="AF73" i="4" s="1"/>
  <c r="AF74" i="4" s="1"/>
  <c r="AG71" i="4"/>
  <c r="AG73" i="4" s="1"/>
  <c r="AG74" i="4" s="1"/>
  <c r="AC72" i="4"/>
  <c r="AD72" i="4"/>
  <c r="AE72" i="4"/>
  <c r="AF72" i="4"/>
  <c r="AG72" i="4"/>
  <c r="AB72" i="4"/>
  <c r="AB71" i="4"/>
  <c r="AB73" i="4" s="1"/>
  <c r="AB74" i="4" s="1"/>
  <c r="AA85" i="3"/>
  <c r="AB85" i="3"/>
  <c r="AC85" i="3"/>
  <c r="AD85" i="3"/>
  <c r="AE85" i="3"/>
  <c r="AA86" i="3"/>
  <c r="AB86" i="3"/>
  <c r="AC86" i="3"/>
  <c r="AC87" i="3" s="1"/>
  <c r="AC88" i="3" s="1"/>
  <c r="AD86" i="3"/>
  <c r="AE86" i="3"/>
  <c r="AE87" i="3" s="1"/>
  <c r="AE88" i="3" s="1"/>
  <c r="Z86" i="3"/>
  <c r="Z78" i="3"/>
  <c r="Z85" i="3"/>
  <c r="AA79" i="3"/>
  <c r="AB79" i="3"/>
  <c r="AC79" i="3"/>
  <c r="AD79" i="3"/>
  <c r="AE79" i="3"/>
  <c r="Z79" i="3"/>
  <c r="AE78" i="3"/>
  <c r="AA78" i="3"/>
  <c r="AA80" i="3" s="1"/>
  <c r="AA81" i="3" s="1"/>
  <c r="AB78" i="3"/>
  <c r="AB80" i="3" s="1"/>
  <c r="AB81" i="3" s="1"/>
  <c r="AC78" i="3"/>
  <c r="AC80" i="3" s="1"/>
  <c r="AC81" i="3" s="1"/>
  <c r="AD78" i="3"/>
  <c r="Z71" i="3"/>
  <c r="Z73" i="3" s="1"/>
  <c r="Z74" i="3" s="1"/>
  <c r="AD87" i="3"/>
  <c r="AD88" i="3" s="1"/>
  <c r="AA73" i="3"/>
  <c r="AA74" i="3" s="1"/>
  <c r="AA71" i="3"/>
  <c r="AB71" i="3"/>
  <c r="AB73" i="3" s="1"/>
  <c r="AB74" i="3" s="1"/>
  <c r="AC71" i="3"/>
  <c r="AC73" i="3" s="1"/>
  <c r="AC74" i="3" s="1"/>
  <c r="AD71" i="3"/>
  <c r="AD73" i="3" s="1"/>
  <c r="AD74" i="3" s="1"/>
  <c r="AE71" i="3"/>
  <c r="AE73" i="3" s="1"/>
  <c r="AE74" i="3" s="1"/>
  <c r="AA72" i="3"/>
  <c r="AB72" i="3"/>
  <c r="AC72" i="3"/>
  <c r="AD72" i="3"/>
  <c r="AE72" i="3"/>
  <c r="Z72" i="3"/>
  <c r="L83" i="6"/>
  <c r="L87" i="6" s="1"/>
  <c r="M83" i="6"/>
  <c r="M87" i="6" s="1"/>
  <c r="N83" i="6"/>
  <c r="N87" i="6" s="1"/>
  <c r="O83" i="6"/>
  <c r="O87" i="6" s="1"/>
  <c r="P83" i="6"/>
  <c r="P87" i="6" s="1"/>
  <c r="Q83" i="6"/>
  <c r="Q87" i="6" s="1"/>
  <c r="M84" i="6"/>
  <c r="M88" i="6" s="1"/>
  <c r="N84" i="6"/>
  <c r="N88" i="6" s="1"/>
  <c r="O84" i="6"/>
  <c r="O88" i="6" s="1"/>
  <c r="P84" i="6"/>
  <c r="P88" i="6" s="1"/>
  <c r="Q84" i="6"/>
  <c r="Q88" i="6" s="1"/>
  <c r="M85" i="6"/>
  <c r="M89" i="6" s="1"/>
  <c r="N85" i="6"/>
  <c r="N89" i="6" s="1"/>
  <c r="O85" i="6"/>
  <c r="O89" i="6" s="1"/>
  <c r="P85" i="6"/>
  <c r="P89" i="6" s="1"/>
  <c r="Q85" i="6"/>
  <c r="Q89" i="6" s="1"/>
  <c r="L84" i="6"/>
  <c r="L88" i="6" s="1"/>
  <c r="L85" i="6"/>
  <c r="L89" i="6" s="1"/>
  <c r="M92" i="6"/>
  <c r="M96" i="6" s="1"/>
  <c r="N92" i="6"/>
  <c r="N96" i="6" s="1"/>
  <c r="O92" i="6"/>
  <c r="O96" i="6" s="1"/>
  <c r="P92" i="6"/>
  <c r="P96" i="6" s="1"/>
  <c r="Q92" i="6"/>
  <c r="Q96" i="6" s="1"/>
  <c r="M93" i="6"/>
  <c r="M97" i="6" s="1"/>
  <c r="N93" i="6"/>
  <c r="N97" i="6" s="1"/>
  <c r="O93" i="6"/>
  <c r="O97" i="6" s="1"/>
  <c r="P93" i="6"/>
  <c r="P97" i="6" s="1"/>
  <c r="Q93" i="6"/>
  <c r="Q97" i="6" s="1"/>
  <c r="M94" i="6"/>
  <c r="M98" i="6" s="1"/>
  <c r="N94" i="6"/>
  <c r="N98" i="6" s="1"/>
  <c r="O94" i="6"/>
  <c r="O98" i="6" s="1"/>
  <c r="P94" i="6"/>
  <c r="P98" i="6" s="1"/>
  <c r="Q94" i="6"/>
  <c r="Q98" i="6" s="1"/>
  <c r="L93" i="6"/>
  <c r="L97" i="6" s="1"/>
  <c r="L94" i="6"/>
  <c r="L98" i="6" s="1"/>
  <c r="L92" i="6"/>
  <c r="L96" i="6" s="1"/>
  <c r="M74" i="6"/>
  <c r="M78" i="6" s="1"/>
  <c r="N74" i="6"/>
  <c r="N78" i="6" s="1"/>
  <c r="O74" i="6"/>
  <c r="O78" i="6" s="1"/>
  <c r="P74" i="6"/>
  <c r="P78" i="6" s="1"/>
  <c r="Q74" i="6"/>
  <c r="Q78" i="6" s="1"/>
  <c r="M75" i="6"/>
  <c r="M79" i="6" s="1"/>
  <c r="N75" i="6"/>
  <c r="N79" i="6" s="1"/>
  <c r="O75" i="6"/>
  <c r="O79" i="6" s="1"/>
  <c r="P75" i="6"/>
  <c r="P79" i="6" s="1"/>
  <c r="Q75" i="6"/>
  <c r="Q79" i="6" s="1"/>
  <c r="M76" i="6"/>
  <c r="M80" i="6" s="1"/>
  <c r="N76" i="6"/>
  <c r="N80" i="6" s="1"/>
  <c r="O76" i="6"/>
  <c r="O80" i="6" s="1"/>
  <c r="P76" i="6"/>
  <c r="P80" i="6" s="1"/>
  <c r="Q76" i="6"/>
  <c r="Q80" i="6" s="1"/>
  <c r="L75" i="6"/>
  <c r="L79" i="6" s="1"/>
  <c r="L76" i="6"/>
  <c r="L80" i="6" s="1"/>
  <c r="L74" i="6"/>
  <c r="L78" i="6" s="1"/>
  <c r="M97" i="5"/>
  <c r="P98" i="5"/>
  <c r="N89" i="5"/>
  <c r="M92" i="5"/>
  <c r="M96" i="5" s="1"/>
  <c r="N92" i="5"/>
  <c r="N96" i="5" s="1"/>
  <c r="O92" i="5"/>
  <c r="O96" i="5" s="1"/>
  <c r="P92" i="5"/>
  <c r="P96" i="5" s="1"/>
  <c r="Q92" i="5"/>
  <c r="Q96" i="5" s="1"/>
  <c r="M93" i="5"/>
  <c r="N93" i="5"/>
  <c r="N97" i="5" s="1"/>
  <c r="O93" i="5"/>
  <c r="O97" i="5" s="1"/>
  <c r="P93" i="5"/>
  <c r="P97" i="5" s="1"/>
  <c r="Q93" i="5"/>
  <c r="Q97" i="5" s="1"/>
  <c r="M94" i="5"/>
  <c r="M98" i="5" s="1"/>
  <c r="N94" i="5"/>
  <c r="N98" i="5" s="1"/>
  <c r="O94" i="5"/>
  <c r="O98" i="5" s="1"/>
  <c r="P94" i="5"/>
  <c r="Q94" i="5"/>
  <c r="Q98" i="5" s="1"/>
  <c r="L93" i="5"/>
  <c r="L97" i="5" s="1"/>
  <c r="L94" i="5"/>
  <c r="L98" i="5" s="1"/>
  <c r="L92" i="5"/>
  <c r="L96" i="5" s="1"/>
  <c r="M83" i="5"/>
  <c r="M87" i="5" s="1"/>
  <c r="N83" i="5"/>
  <c r="N87" i="5" s="1"/>
  <c r="O83" i="5"/>
  <c r="O87" i="5" s="1"/>
  <c r="P83" i="5"/>
  <c r="P87" i="5" s="1"/>
  <c r="Q83" i="5"/>
  <c r="Q87" i="5" s="1"/>
  <c r="M84" i="5"/>
  <c r="M88" i="5" s="1"/>
  <c r="N84" i="5"/>
  <c r="N88" i="5" s="1"/>
  <c r="O84" i="5"/>
  <c r="O88" i="5" s="1"/>
  <c r="P84" i="5"/>
  <c r="P88" i="5" s="1"/>
  <c r="Q84" i="5"/>
  <c r="Q88" i="5" s="1"/>
  <c r="M85" i="5"/>
  <c r="M89" i="5" s="1"/>
  <c r="N85" i="5"/>
  <c r="O85" i="5"/>
  <c r="O89" i="5" s="1"/>
  <c r="P85" i="5"/>
  <c r="P89" i="5" s="1"/>
  <c r="Q85" i="5"/>
  <c r="Q89" i="5" s="1"/>
  <c r="L84" i="5"/>
  <c r="L88" i="5" s="1"/>
  <c r="L85" i="5"/>
  <c r="L89" i="5" s="1"/>
  <c r="L83" i="5"/>
  <c r="L87" i="5" s="1"/>
  <c r="M79" i="5"/>
  <c r="P80" i="5"/>
  <c r="M74" i="5"/>
  <c r="M78" i="5" s="1"/>
  <c r="N74" i="5"/>
  <c r="N78" i="5" s="1"/>
  <c r="O74" i="5"/>
  <c r="O78" i="5" s="1"/>
  <c r="P74" i="5"/>
  <c r="P78" i="5" s="1"/>
  <c r="Q74" i="5"/>
  <c r="Q78" i="5" s="1"/>
  <c r="M75" i="5"/>
  <c r="N75" i="5"/>
  <c r="N79" i="5" s="1"/>
  <c r="O75" i="5"/>
  <c r="O79" i="5" s="1"/>
  <c r="P75" i="5"/>
  <c r="P79" i="5" s="1"/>
  <c r="Q75" i="5"/>
  <c r="Q79" i="5" s="1"/>
  <c r="M76" i="5"/>
  <c r="M80" i="5" s="1"/>
  <c r="N76" i="5"/>
  <c r="N80" i="5" s="1"/>
  <c r="O76" i="5"/>
  <c r="O80" i="5" s="1"/>
  <c r="P76" i="5"/>
  <c r="Q76" i="5"/>
  <c r="Q80" i="5" s="1"/>
  <c r="L75" i="5"/>
  <c r="L79" i="5" s="1"/>
  <c r="L76" i="5"/>
  <c r="L80" i="5" s="1"/>
  <c r="L74" i="5"/>
  <c r="L78" i="5" s="1"/>
  <c r="L92" i="4"/>
  <c r="N96" i="4"/>
  <c r="O96" i="4"/>
  <c r="Q97" i="4"/>
  <c r="L96" i="4"/>
  <c r="M91" i="4"/>
  <c r="M95" i="4" s="1"/>
  <c r="N91" i="4"/>
  <c r="N95" i="4" s="1"/>
  <c r="O91" i="4"/>
  <c r="O95" i="4" s="1"/>
  <c r="P91" i="4"/>
  <c r="P95" i="4" s="1"/>
  <c r="Q91" i="4"/>
  <c r="Q95" i="4" s="1"/>
  <c r="M92" i="4"/>
  <c r="M96" i="4" s="1"/>
  <c r="N92" i="4"/>
  <c r="O92" i="4"/>
  <c r="P92" i="4"/>
  <c r="P96" i="4" s="1"/>
  <c r="Q92" i="4"/>
  <c r="Q96" i="4" s="1"/>
  <c r="M93" i="4"/>
  <c r="M97" i="4" s="1"/>
  <c r="N93" i="4"/>
  <c r="N97" i="4" s="1"/>
  <c r="O93" i="4"/>
  <c r="O97" i="4" s="1"/>
  <c r="P93" i="4"/>
  <c r="P97" i="4" s="1"/>
  <c r="Q93" i="4"/>
  <c r="L93" i="4"/>
  <c r="L97" i="4" s="1"/>
  <c r="L91" i="4"/>
  <c r="L95" i="4" s="1"/>
  <c r="N86" i="4"/>
  <c r="O86" i="4"/>
  <c r="P86" i="4"/>
  <c r="Q86" i="4"/>
  <c r="O88" i="4"/>
  <c r="M82" i="4"/>
  <c r="M86" i="4" s="1"/>
  <c r="N82" i="4"/>
  <c r="O82" i="4"/>
  <c r="P82" i="4"/>
  <c r="Q82" i="4"/>
  <c r="M83" i="4"/>
  <c r="M87" i="4" s="1"/>
  <c r="N83" i="4"/>
  <c r="N87" i="4" s="1"/>
  <c r="O83" i="4"/>
  <c r="O87" i="4" s="1"/>
  <c r="P83" i="4"/>
  <c r="P87" i="4" s="1"/>
  <c r="Q83" i="4"/>
  <c r="Q87" i="4" s="1"/>
  <c r="M84" i="4"/>
  <c r="M88" i="4" s="1"/>
  <c r="N84" i="4"/>
  <c r="N88" i="4" s="1"/>
  <c r="O84" i="4"/>
  <c r="P84" i="4"/>
  <c r="P88" i="4" s="1"/>
  <c r="Q84" i="4"/>
  <c r="Q88" i="4" s="1"/>
  <c r="L83" i="4"/>
  <c r="L87" i="4" s="1"/>
  <c r="L84" i="4"/>
  <c r="L88" i="4" s="1"/>
  <c r="L82" i="4"/>
  <c r="L86" i="4" s="1"/>
  <c r="Q75" i="4"/>
  <c r="Q79" i="4" s="1"/>
  <c r="M73" i="4"/>
  <c r="M77" i="4" s="1"/>
  <c r="N73" i="4"/>
  <c r="N77" i="4" s="1"/>
  <c r="O73" i="4"/>
  <c r="O77" i="4" s="1"/>
  <c r="P73" i="4"/>
  <c r="P77" i="4" s="1"/>
  <c r="Q73" i="4"/>
  <c r="Q77" i="4" s="1"/>
  <c r="M74" i="4"/>
  <c r="M78" i="4" s="1"/>
  <c r="N74" i="4"/>
  <c r="N78" i="4" s="1"/>
  <c r="O74" i="4"/>
  <c r="O78" i="4" s="1"/>
  <c r="P74" i="4"/>
  <c r="P78" i="4" s="1"/>
  <c r="Q74" i="4"/>
  <c r="Q78" i="4" s="1"/>
  <c r="M75" i="4"/>
  <c r="M79" i="4" s="1"/>
  <c r="N75" i="4"/>
  <c r="N79" i="4" s="1"/>
  <c r="O75" i="4"/>
  <c r="O79" i="4" s="1"/>
  <c r="P75" i="4"/>
  <c r="P79" i="4" s="1"/>
  <c r="L74" i="4"/>
  <c r="L78" i="4" s="1"/>
  <c r="L75" i="4"/>
  <c r="L79" i="4" s="1"/>
  <c r="L73" i="4"/>
  <c r="L77" i="4" s="1"/>
  <c r="O95" i="3"/>
  <c r="L97" i="3"/>
  <c r="L91" i="3"/>
  <c r="L95" i="3" s="1"/>
  <c r="M91" i="3"/>
  <c r="M95" i="3" s="1"/>
  <c r="N91" i="3"/>
  <c r="N95" i="3" s="1"/>
  <c r="O91" i="3"/>
  <c r="P91" i="3"/>
  <c r="P95" i="3" s="1"/>
  <c r="L92" i="3"/>
  <c r="L96" i="3" s="1"/>
  <c r="M92" i="3"/>
  <c r="M96" i="3" s="1"/>
  <c r="N92" i="3"/>
  <c r="N96" i="3" s="1"/>
  <c r="O92" i="3"/>
  <c r="O96" i="3" s="1"/>
  <c r="P92" i="3"/>
  <c r="P96" i="3" s="1"/>
  <c r="L93" i="3"/>
  <c r="M93" i="3"/>
  <c r="M97" i="3" s="1"/>
  <c r="N93" i="3"/>
  <c r="N97" i="3" s="1"/>
  <c r="O93" i="3"/>
  <c r="O97" i="3" s="1"/>
  <c r="P93" i="3"/>
  <c r="P97" i="3" s="1"/>
  <c r="K92" i="3"/>
  <c r="K96" i="3" s="1"/>
  <c r="K93" i="3"/>
  <c r="K97" i="3" s="1"/>
  <c r="K91" i="3"/>
  <c r="K95" i="3" s="1"/>
  <c r="L82" i="3"/>
  <c r="L86" i="3" s="1"/>
  <c r="M82" i="3"/>
  <c r="M86" i="3" s="1"/>
  <c r="N82" i="3"/>
  <c r="N86" i="3" s="1"/>
  <c r="O82" i="3"/>
  <c r="O86" i="3" s="1"/>
  <c r="P82" i="3"/>
  <c r="P86" i="3" s="1"/>
  <c r="L83" i="3"/>
  <c r="L87" i="3" s="1"/>
  <c r="M83" i="3"/>
  <c r="M87" i="3" s="1"/>
  <c r="N83" i="3"/>
  <c r="N87" i="3" s="1"/>
  <c r="O83" i="3"/>
  <c r="O87" i="3" s="1"/>
  <c r="P83" i="3"/>
  <c r="P87" i="3" s="1"/>
  <c r="L84" i="3"/>
  <c r="L88" i="3" s="1"/>
  <c r="M84" i="3"/>
  <c r="M88" i="3" s="1"/>
  <c r="N84" i="3"/>
  <c r="N88" i="3" s="1"/>
  <c r="O84" i="3"/>
  <c r="O88" i="3" s="1"/>
  <c r="P84" i="3"/>
  <c r="P88" i="3" s="1"/>
  <c r="K83" i="3"/>
  <c r="K87" i="3" s="1"/>
  <c r="K84" i="3"/>
  <c r="K88" i="3" s="1"/>
  <c r="K82" i="3"/>
  <c r="K86" i="3" s="1"/>
  <c r="K79" i="3"/>
  <c r="L73" i="3"/>
  <c r="L77" i="3" s="1"/>
  <c r="M73" i="3"/>
  <c r="M77" i="3" s="1"/>
  <c r="N73" i="3"/>
  <c r="N77" i="3" s="1"/>
  <c r="O73" i="3"/>
  <c r="O77" i="3" s="1"/>
  <c r="P73" i="3"/>
  <c r="P77" i="3" s="1"/>
  <c r="L74" i="3"/>
  <c r="L78" i="3" s="1"/>
  <c r="M74" i="3"/>
  <c r="M78" i="3" s="1"/>
  <c r="N74" i="3"/>
  <c r="N78" i="3" s="1"/>
  <c r="O74" i="3"/>
  <c r="O78" i="3" s="1"/>
  <c r="P74" i="3"/>
  <c r="P78" i="3" s="1"/>
  <c r="L75" i="3"/>
  <c r="L79" i="3" s="1"/>
  <c r="M75" i="3"/>
  <c r="M79" i="3" s="1"/>
  <c r="N75" i="3"/>
  <c r="N79" i="3" s="1"/>
  <c r="O75" i="3"/>
  <c r="O79" i="3" s="1"/>
  <c r="P75" i="3"/>
  <c r="P79" i="3" s="1"/>
  <c r="K74" i="3"/>
  <c r="K78" i="3" s="1"/>
  <c r="K75" i="3"/>
  <c r="K73" i="3"/>
  <c r="K77" i="3" s="1"/>
  <c r="AF87" i="2"/>
  <c r="AB87" i="2"/>
  <c r="AC87" i="2"/>
  <c r="AD87" i="2"/>
  <c r="AE87" i="2"/>
  <c r="AA87" i="2"/>
  <c r="AB86" i="2"/>
  <c r="AC86" i="2"/>
  <c r="AD86" i="2"/>
  <c r="AE86" i="2"/>
  <c r="AF86" i="2"/>
  <c r="AA86" i="2"/>
  <c r="AB79" i="2"/>
  <c r="AC79" i="2"/>
  <c r="AD79" i="2"/>
  <c r="AE79" i="2"/>
  <c r="AF79" i="2"/>
  <c r="AB80" i="2"/>
  <c r="AC80" i="2"/>
  <c r="AD80" i="2"/>
  <c r="AE80" i="2"/>
  <c r="AF80" i="2"/>
  <c r="AA80" i="2"/>
  <c r="AA79" i="2"/>
  <c r="K99" i="2"/>
  <c r="K103" i="2" s="1"/>
  <c r="K106" i="2" s="1"/>
  <c r="L99" i="2"/>
  <c r="L103" i="2" s="1"/>
  <c r="M99" i="2"/>
  <c r="M103" i="2" s="1"/>
  <c r="N99" i="2"/>
  <c r="N103" i="2" s="1"/>
  <c r="O99" i="2"/>
  <c r="O103" i="2" s="1"/>
  <c r="P99" i="2"/>
  <c r="P103" i="2" s="1"/>
  <c r="L100" i="2"/>
  <c r="L104" i="2" s="1"/>
  <c r="M100" i="2"/>
  <c r="M104" i="2" s="1"/>
  <c r="N100" i="2"/>
  <c r="N104" i="2" s="1"/>
  <c r="O100" i="2"/>
  <c r="O104" i="2" s="1"/>
  <c r="P100" i="2"/>
  <c r="P104" i="2" s="1"/>
  <c r="L101" i="2"/>
  <c r="L105" i="2" s="1"/>
  <c r="M101" i="2"/>
  <c r="M105" i="2" s="1"/>
  <c r="N101" i="2"/>
  <c r="N105" i="2" s="1"/>
  <c r="O101" i="2"/>
  <c r="O105" i="2" s="1"/>
  <c r="P101" i="2"/>
  <c r="P105" i="2" s="1"/>
  <c r="K100" i="2"/>
  <c r="K104" i="2" s="1"/>
  <c r="K107" i="2" s="1"/>
  <c r="K101" i="2"/>
  <c r="K105" i="2" s="1"/>
  <c r="K108" i="2" s="1"/>
  <c r="L86" i="2"/>
  <c r="L90" i="2" s="1"/>
  <c r="L93" i="2" s="1"/>
  <c r="M86" i="2"/>
  <c r="M90" i="2" s="1"/>
  <c r="M93" i="2" s="1"/>
  <c r="N86" i="2"/>
  <c r="N90" i="2" s="1"/>
  <c r="N93" i="2" s="1"/>
  <c r="O86" i="2"/>
  <c r="O90" i="2" s="1"/>
  <c r="O93" i="2" s="1"/>
  <c r="P86" i="2"/>
  <c r="P90" i="2" s="1"/>
  <c r="P93" i="2" s="1"/>
  <c r="L87" i="2"/>
  <c r="L91" i="2" s="1"/>
  <c r="L94" i="2" s="1"/>
  <c r="M87" i="2"/>
  <c r="M91" i="2" s="1"/>
  <c r="M94" i="2" s="1"/>
  <c r="N87" i="2"/>
  <c r="N91" i="2" s="1"/>
  <c r="N94" i="2" s="1"/>
  <c r="O87" i="2"/>
  <c r="O91" i="2" s="1"/>
  <c r="O94" i="2" s="1"/>
  <c r="P87" i="2"/>
  <c r="P91" i="2" s="1"/>
  <c r="P94" i="2" s="1"/>
  <c r="L88" i="2"/>
  <c r="L92" i="2" s="1"/>
  <c r="L95" i="2" s="1"/>
  <c r="M88" i="2"/>
  <c r="M92" i="2" s="1"/>
  <c r="M95" i="2" s="1"/>
  <c r="N88" i="2"/>
  <c r="N92" i="2" s="1"/>
  <c r="N95" i="2" s="1"/>
  <c r="O88" i="2"/>
  <c r="O92" i="2" s="1"/>
  <c r="O95" i="2" s="1"/>
  <c r="P88" i="2"/>
  <c r="P92" i="2" s="1"/>
  <c r="P95" i="2" s="1"/>
  <c r="K88" i="2"/>
  <c r="K92" i="2" s="1"/>
  <c r="K95" i="2" s="1"/>
  <c r="K87" i="2"/>
  <c r="K91" i="2" s="1"/>
  <c r="K94" i="2" s="1"/>
  <c r="K86" i="2"/>
  <c r="K90" i="2" s="1"/>
  <c r="K93" i="2" s="1"/>
  <c r="M76" i="2"/>
  <c r="M80" i="2" s="1"/>
  <c r="M83" i="2" s="1"/>
  <c r="L74" i="2"/>
  <c r="L78" i="2" s="1"/>
  <c r="L81" i="2" s="1"/>
  <c r="M74" i="2"/>
  <c r="M78" i="2" s="1"/>
  <c r="M81" i="2" s="1"/>
  <c r="N74" i="2"/>
  <c r="N78" i="2" s="1"/>
  <c r="N81" i="2" s="1"/>
  <c r="O74" i="2"/>
  <c r="O78" i="2" s="1"/>
  <c r="O81" i="2" s="1"/>
  <c r="P74" i="2"/>
  <c r="P78" i="2" s="1"/>
  <c r="P81" i="2" s="1"/>
  <c r="L75" i="2"/>
  <c r="L79" i="2" s="1"/>
  <c r="L82" i="2" s="1"/>
  <c r="M75" i="2"/>
  <c r="M79" i="2" s="1"/>
  <c r="M82" i="2" s="1"/>
  <c r="N75" i="2"/>
  <c r="N79" i="2" s="1"/>
  <c r="N82" i="2" s="1"/>
  <c r="O75" i="2"/>
  <c r="O79" i="2" s="1"/>
  <c r="O82" i="2" s="1"/>
  <c r="P75" i="2"/>
  <c r="P79" i="2" s="1"/>
  <c r="P82" i="2" s="1"/>
  <c r="L76" i="2"/>
  <c r="L80" i="2" s="1"/>
  <c r="L83" i="2" s="1"/>
  <c r="N76" i="2"/>
  <c r="N80" i="2" s="1"/>
  <c r="N83" i="2" s="1"/>
  <c r="O76" i="2"/>
  <c r="O80" i="2" s="1"/>
  <c r="O83" i="2" s="1"/>
  <c r="P76" i="2"/>
  <c r="P80" i="2" s="1"/>
  <c r="P83" i="2" s="1"/>
  <c r="K75" i="2"/>
  <c r="K79" i="2" s="1"/>
  <c r="K82" i="2" s="1"/>
  <c r="K76" i="2"/>
  <c r="K80" i="2" s="1"/>
  <c r="K83" i="2" s="1"/>
  <c r="K74" i="2"/>
  <c r="K78" i="2" s="1"/>
  <c r="K81" i="2" s="1"/>
  <c r="AB72" i="2"/>
  <c r="AC72" i="2"/>
  <c r="AD72" i="2"/>
  <c r="AE72" i="2"/>
  <c r="AF72" i="2"/>
  <c r="AB73" i="2"/>
  <c r="AC73" i="2"/>
  <c r="AD73" i="2"/>
  <c r="AE73" i="2"/>
  <c r="AF73" i="2"/>
  <c r="AA73" i="2"/>
  <c r="AA72" i="2"/>
  <c r="AD65" i="6"/>
  <c r="AB64" i="6"/>
  <c r="AA65" i="6"/>
  <c r="AC64" i="6"/>
  <c r="AD64" i="6"/>
  <c r="AE64" i="6"/>
  <c r="AF64" i="6"/>
  <c r="AB65" i="6"/>
  <c r="AC65" i="6"/>
  <c r="AE65" i="6"/>
  <c r="AF65" i="6"/>
  <c r="AA64" i="6"/>
  <c r="AB64" i="5"/>
  <c r="AB66" i="5" s="1"/>
  <c r="AB67" i="5" s="1"/>
  <c r="Z65" i="5"/>
  <c r="AA64" i="5"/>
  <c r="AC64" i="5"/>
  <c r="AD64" i="5"/>
  <c r="AE64" i="5"/>
  <c r="AA65" i="5"/>
  <c r="AB65" i="5"/>
  <c r="AC65" i="5"/>
  <c r="AC66" i="5" s="1"/>
  <c r="AC67" i="5" s="1"/>
  <c r="AD65" i="5"/>
  <c r="AD66" i="5" s="1"/>
  <c r="AD67" i="5" s="1"/>
  <c r="AE65" i="5"/>
  <c r="Z64" i="5"/>
  <c r="AD65" i="4"/>
  <c r="AD66" i="4" s="1"/>
  <c r="AD67" i="4" s="1"/>
  <c r="AB64" i="4"/>
  <c r="AB66" i="4" s="1"/>
  <c r="AB67" i="4" s="1"/>
  <c r="AB65" i="4"/>
  <c r="AC65" i="4"/>
  <c r="AE65" i="4"/>
  <c r="AF65" i="4"/>
  <c r="AG65" i="4"/>
  <c r="AC66" i="4"/>
  <c r="AC67" i="4" s="1"/>
  <c r="AC64" i="4"/>
  <c r="AD64" i="4"/>
  <c r="AE64" i="4"/>
  <c r="AE66" i="4" s="1"/>
  <c r="AE67" i="4" s="1"/>
  <c r="AF64" i="4"/>
  <c r="AF66" i="4" s="1"/>
  <c r="AF67" i="4" s="1"/>
  <c r="AG64" i="4"/>
  <c r="AG66" i="4" s="1"/>
  <c r="AG67" i="4" s="1"/>
  <c r="AA64" i="3"/>
  <c r="AA66" i="3" s="1"/>
  <c r="AA67" i="3" s="1"/>
  <c r="AB64" i="3"/>
  <c r="AC64" i="3"/>
  <c r="AD64" i="3"/>
  <c r="AE64" i="3"/>
  <c r="AA65" i="3"/>
  <c r="AB65" i="3"/>
  <c r="AC65" i="3"/>
  <c r="AD65" i="3"/>
  <c r="AD66" i="3" s="1"/>
  <c r="AD67" i="3" s="1"/>
  <c r="AE65" i="3"/>
  <c r="Z65" i="3"/>
  <c r="Z64" i="3"/>
  <c r="AB65" i="2"/>
  <c r="AA64" i="2"/>
  <c r="AB64" i="2"/>
  <c r="AC64" i="2"/>
  <c r="AD64" i="2"/>
  <c r="AE64" i="2"/>
  <c r="AF64" i="2"/>
  <c r="AC65" i="2"/>
  <c r="AD65" i="2"/>
  <c r="AE65" i="2"/>
  <c r="AF65" i="2"/>
  <c r="AA65" i="2"/>
  <c r="P66" i="3"/>
  <c r="P70" i="3" s="1"/>
  <c r="P64" i="3"/>
  <c r="P68" i="3" s="1"/>
  <c r="K64" i="3"/>
  <c r="K68" i="3" s="1"/>
  <c r="L64" i="3"/>
  <c r="L68" i="3" s="1"/>
  <c r="M64" i="3"/>
  <c r="M68" i="3" s="1"/>
  <c r="N64" i="3"/>
  <c r="N68" i="3" s="1"/>
  <c r="O64" i="3"/>
  <c r="O68" i="3" s="1"/>
  <c r="L65" i="3"/>
  <c r="L69" i="3" s="1"/>
  <c r="M65" i="3"/>
  <c r="M69" i="3" s="1"/>
  <c r="N65" i="3"/>
  <c r="N69" i="3" s="1"/>
  <c r="O65" i="3"/>
  <c r="O69" i="3" s="1"/>
  <c r="P65" i="3"/>
  <c r="P69" i="3" s="1"/>
  <c r="L66" i="3"/>
  <c r="L70" i="3" s="1"/>
  <c r="M66" i="3"/>
  <c r="M70" i="3" s="1"/>
  <c r="N66" i="3"/>
  <c r="N70" i="3" s="1"/>
  <c r="O66" i="3"/>
  <c r="O70" i="3" s="1"/>
  <c r="K65" i="3"/>
  <c r="K69" i="3" s="1"/>
  <c r="K66" i="3"/>
  <c r="K70" i="3" s="1"/>
  <c r="M64" i="4"/>
  <c r="M68" i="4" s="1"/>
  <c r="N64" i="4"/>
  <c r="O64" i="4"/>
  <c r="O68" i="4" s="1"/>
  <c r="P64" i="4"/>
  <c r="Q64" i="4"/>
  <c r="Q68" i="4" s="1"/>
  <c r="M65" i="4"/>
  <c r="M69" i="4" s="1"/>
  <c r="N65" i="4"/>
  <c r="N69" i="4" s="1"/>
  <c r="O65" i="4"/>
  <c r="O69" i="4" s="1"/>
  <c r="P65" i="4"/>
  <c r="P69" i="4" s="1"/>
  <c r="Q65" i="4"/>
  <c r="Q69" i="4" s="1"/>
  <c r="M66" i="4"/>
  <c r="M70" i="4" s="1"/>
  <c r="N66" i="4"/>
  <c r="O66" i="4"/>
  <c r="O70" i="4" s="1"/>
  <c r="P66" i="4"/>
  <c r="P70" i="4" s="1"/>
  <c r="Q66" i="4"/>
  <c r="Q70" i="4" s="1"/>
  <c r="L65" i="4"/>
  <c r="L66" i="4"/>
  <c r="L70" i="4" s="1"/>
  <c r="L64" i="4"/>
  <c r="L68" i="4" s="1"/>
  <c r="N68" i="4"/>
  <c r="N70" i="4"/>
  <c r="L69" i="4"/>
  <c r="P68" i="4"/>
  <c r="L65" i="5"/>
  <c r="L69" i="5" s="1"/>
  <c r="Q67" i="5"/>
  <c r="Q71" i="5" s="1"/>
  <c r="P67" i="5"/>
  <c r="P71" i="5" s="1"/>
  <c r="O67" i="5"/>
  <c r="O71" i="5" s="1"/>
  <c r="N67" i="5"/>
  <c r="N71" i="5" s="1"/>
  <c r="M67" i="5"/>
  <c r="M71" i="5" s="1"/>
  <c r="L67" i="5"/>
  <c r="L71" i="5" s="1"/>
  <c r="Q66" i="5"/>
  <c r="Q70" i="5" s="1"/>
  <c r="P66" i="5"/>
  <c r="P70" i="5" s="1"/>
  <c r="O66" i="5"/>
  <c r="O70" i="5" s="1"/>
  <c r="N66" i="5"/>
  <c r="N70" i="5" s="1"/>
  <c r="M66" i="5"/>
  <c r="M70" i="5" s="1"/>
  <c r="L66" i="5"/>
  <c r="L70" i="5" s="1"/>
  <c r="Q65" i="5"/>
  <c r="Q69" i="5" s="1"/>
  <c r="P65" i="5"/>
  <c r="P69" i="5" s="1"/>
  <c r="O65" i="5"/>
  <c r="O69" i="5" s="1"/>
  <c r="N65" i="5"/>
  <c r="N69" i="5" s="1"/>
  <c r="M65" i="5"/>
  <c r="M69" i="5" s="1"/>
  <c r="M65" i="6"/>
  <c r="M69" i="6" s="1"/>
  <c r="N65" i="6"/>
  <c r="N69" i="6" s="1"/>
  <c r="O65" i="6"/>
  <c r="P65" i="6"/>
  <c r="P69" i="6" s="1"/>
  <c r="Q65" i="6"/>
  <c r="Q69" i="6" s="1"/>
  <c r="M66" i="6"/>
  <c r="M70" i="6" s="1"/>
  <c r="N66" i="6"/>
  <c r="N70" i="6" s="1"/>
  <c r="O66" i="6"/>
  <c r="O70" i="6" s="1"/>
  <c r="P66" i="6"/>
  <c r="P70" i="6" s="1"/>
  <c r="Q66" i="6"/>
  <c r="Q70" i="6" s="1"/>
  <c r="M67" i="6"/>
  <c r="N67" i="6"/>
  <c r="N71" i="6" s="1"/>
  <c r="O67" i="6"/>
  <c r="O71" i="6" s="1"/>
  <c r="P67" i="6"/>
  <c r="P71" i="6" s="1"/>
  <c r="Q67" i="6"/>
  <c r="Q71" i="6" s="1"/>
  <c r="L66" i="6"/>
  <c r="L70" i="6" s="1"/>
  <c r="L67" i="6"/>
  <c r="L71" i="6" s="1"/>
  <c r="L65" i="6"/>
  <c r="L69" i="6" s="1"/>
  <c r="O69" i="6"/>
  <c r="M71" i="6"/>
  <c r="L65" i="2"/>
  <c r="L69" i="2" s="1"/>
  <c r="M65" i="2"/>
  <c r="M69" i="2" s="1"/>
  <c r="N65" i="2"/>
  <c r="N69" i="2" s="1"/>
  <c r="O65" i="2"/>
  <c r="O69" i="2" s="1"/>
  <c r="P65" i="2"/>
  <c r="P69" i="2" s="1"/>
  <c r="L66" i="2"/>
  <c r="L70" i="2" s="1"/>
  <c r="M66" i="2"/>
  <c r="M70" i="2" s="1"/>
  <c r="N66" i="2"/>
  <c r="N70" i="2" s="1"/>
  <c r="O66" i="2"/>
  <c r="O70" i="2" s="1"/>
  <c r="P66" i="2"/>
  <c r="P70" i="2" s="1"/>
  <c r="L67" i="2"/>
  <c r="L71" i="2" s="1"/>
  <c r="M67" i="2"/>
  <c r="M71" i="2" s="1"/>
  <c r="N67" i="2"/>
  <c r="N71" i="2" s="1"/>
  <c r="O67" i="2"/>
  <c r="O71" i="2" s="1"/>
  <c r="P67" i="2"/>
  <c r="P71" i="2" s="1"/>
  <c r="K66" i="2"/>
  <c r="K70" i="2" s="1"/>
  <c r="K67" i="2"/>
  <c r="K71" i="2" s="1"/>
  <c r="K65" i="2"/>
  <c r="K69" i="2" s="1"/>
  <c r="G71" i="3"/>
  <c r="F71" i="3"/>
  <c r="E71" i="3"/>
  <c r="D71" i="3"/>
  <c r="C71" i="3"/>
  <c r="B71" i="3"/>
  <c r="G68" i="3"/>
  <c r="F68" i="3"/>
  <c r="E68" i="3"/>
  <c r="D68" i="3"/>
  <c r="C68" i="3"/>
  <c r="B68" i="3"/>
  <c r="C65" i="3"/>
  <c r="D65" i="3"/>
  <c r="E65" i="3"/>
  <c r="F65" i="3"/>
  <c r="G65" i="3"/>
  <c r="B65" i="3"/>
  <c r="C71" i="4"/>
  <c r="D71" i="4"/>
  <c r="E71" i="4"/>
  <c r="F71" i="4"/>
  <c r="G71" i="4"/>
  <c r="B71" i="4"/>
  <c r="C68" i="4"/>
  <c r="D68" i="4"/>
  <c r="E68" i="4"/>
  <c r="F68" i="4"/>
  <c r="G68" i="4"/>
  <c r="B68" i="4"/>
  <c r="C65" i="4"/>
  <c r="D65" i="4"/>
  <c r="E65" i="4"/>
  <c r="F65" i="4"/>
  <c r="G65" i="4"/>
  <c r="B65" i="4"/>
  <c r="G71" i="5"/>
  <c r="F71" i="5"/>
  <c r="E71" i="5"/>
  <c r="D71" i="5"/>
  <c r="C71" i="5"/>
  <c r="B71" i="5"/>
  <c r="G68" i="5"/>
  <c r="F68" i="5"/>
  <c r="E68" i="5"/>
  <c r="D68" i="5"/>
  <c r="C68" i="5"/>
  <c r="B68" i="5"/>
  <c r="G65" i="5"/>
  <c r="F65" i="5"/>
  <c r="E65" i="5"/>
  <c r="D65" i="5"/>
  <c r="C65" i="5"/>
  <c r="B65" i="5"/>
  <c r="C71" i="6"/>
  <c r="D71" i="6"/>
  <c r="E71" i="6"/>
  <c r="F71" i="6"/>
  <c r="G71" i="6"/>
  <c r="B71" i="6"/>
  <c r="C68" i="6"/>
  <c r="D68" i="6"/>
  <c r="E68" i="6"/>
  <c r="F68" i="6"/>
  <c r="G68" i="6"/>
  <c r="B68" i="6"/>
  <c r="C65" i="6"/>
  <c r="D65" i="6"/>
  <c r="E65" i="6"/>
  <c r="F65" i="6"/>
  <c r="G65" i="6"/>
  <c r="B65" i="6"/>
  <c r="G71" i="2"/>
  <c r="F71" i="2"/>
  <c r="E71" i="2"/>
  <c r="D71" i="2"/>
  <c r="C71" i="2"/>
  <c r="B71" i="2"/>
  <c r="B68" i="2"/>
  <c r="G68" i="2"/>
  <c r="F68" i="2"/>
  <c r="E68" i="2"/>
  <c r="D68" i="2"/>
  <c r="C68" i="2"/>
  <c r="F65" i="2"/>
  <c r="B65" i="2"/>
  <c r="G65" i="2"/>
  <c r="E65" i="2"/>
  <c r="D65" i="2"/>
  <c r="C65" i="2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B61" i="2"/>
  <c r="G61" i="2"/>
  <c r="F61" i="2"/>
  <c r="E61" i="2"/>
  <c r="D61" i="2"/>
  <c r="C61" i="2"/>
  <c r="G61" i="3"/>
  <c r="F61" i="3"/>
  <c r="E61" i="3"/>
  <c r="D61" i="3"/>
  <c r="C61" i="3"/>
  <c r="B61" i="3"/>
  <c r="B61" i="4"/>
  <c r="G61" i="4"/>
  <c r="F61" i="4"/>
  <c r="E61" i="4"/>
  <c r="D61" i="4"/>
  <c r="C61" i="4"/>
  <c r="E61" i="5"/>
  <c r="C61" i="5"/>
  <c r="B61" i="5"/>
  <c r="D61" i="5"/>
  <c r="F61" i="5"/>
  <c r="G61" i="5"/>
  <c r="C61" i="6"/>
  <c r="D61" i="6"/>
  <c r="E61" i="6"/>
  <c r="F61" i="6"/>
  <c r="G61" i="6"/>
  <c r="B61" i="6"/>
  <c r="I87" i="8"/>
  <c r="F88" i="8"/>
  <c r="E87" i="8"/>
  <c r="F87" i="8"/>
  <c r="G87" i="8"/>
  <c r="H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E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D88" i="8"/>
  <c r="D87" i="8"/>
  <c r="AF66" i="8"/>
  <c r="AG66" i="8"/>
  <c r="AG65" i="8"/>
  <c r="AF73" i="8"/>
  <c r="AG73" i="8"/>
  <c r="AG72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D80" i="8"/>
  <c r="D79" i="8"/>
  <c r="D72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C66" i="2" l="1"/>
  <c r="AC67" i="2" s="1"/>
  <c r="AA81" i="2"/>
  <c r="AA82" i="2" s="1"/>
  <c r="AE87" i="4"/>
  <c r="AE88" i="4" s="1"/>
  <c r="AC66" i="3"/>
  <c r="AC67" i="3" s="1"/>
  <c r="AB66" i="3"/>
  <c r="AB67" i="3" s="1"/>
  <c r="AB87" i="3"/>
  <c r="AB88" i="3" s="1"/>
  <c r="AD80" i="3"/>
  <c r="AD81" i="3" s="1"/>
  <c r="AA87" i="3"/>
  <c r="AA88" i="3" s="1"/>
  <c r="AD88" i="2"/>
  <c r="AD89" i="2" s="1"/>
  <c r="AF88" i="2"/>
  <c r="AF89" i="2" s="1"/>
  <c r="AB81" i="2"/>
  <c r="AB82" i="2" s="1"/>
  <c r="AE88" i="2"/>
  <c r="AE89" i="2" s="1"/>
  <c r="AF81" i="2"/>
  <c r="AF82" i="2" s="1"/>
  <c r="AF66" i="2"/>
  <c r="AF67" i="2" s="1"/>
  <c r="AB66" i="2"/>
  <c r="AB67" i="2" s="1"/>
  <c r="AB74" i="2"/>
  <c r="AB75" i="2" s="1"/>
  <c r="AE81" i="2"/>
  <c r="AE82" i="2" s="1"/>
  <c r="AC88" i="2"/>
  <c r="AC89" i="2" s="1"/>
  <c r="AD74" i="2"/>
  <c r="AD75" i="2" s="1"/>
  <c r="AC74" i="2"/>
  <c r="AC75" i="2" s="1"/>
  <c r="AB88" i="2"/>
  <c r="AB89" i="2" s="1"/>
  <c r="AD81" i="2"/>
  <c r="AD82" i="2" s="1"/>
  <c r="AE66" i="2"/>
  <c r="AE67" i="2" s="1"/>
  <c r="AF74" i="2"/>
  <c r="AF75" i="2" s="1"/>
  <c r="AC81" i="2"/>
  <c r="AC82" i="2" s="1"/>
  <c r="AA74" i="2"/>
  <c r="AA75" i="2" s="1"/>
  <c r="AE74" i="2"/>
  <c r="AE75" i="2" s="1"/>
  <c r="AD66" i="2"/>
  <c r="AD67" i="2" s="1"/>
  <c r="AC80" i="6"/>
  <c r="AC81" i="6" s="1"/>
  <c r="AD80" i="6"/>
  <c r="AD81" i="6" s="1"/>
  <c r="AF87" i="6"/>
  <c r="AF88" i="6" s="1"/>
  <c r="AD73" i="6"/>
  <c r="AD74" i="6" s="1"/>
  <c r="AD66" i="6"/>
  <c r="AD67" i="6" s="1"/>
  <c r="AE66" i="6"/>
  <c r="AE67" i="6" s="1"/>
  <c r="AB66" i="6"/>
  <c r="AB67" i="6" s="1"/>
  <c r="AD87" i="6"/>
  <c r="AD88" i="6" s="1"/>
  <c r="AC66" i="6"/>
  <c r="AC67" i="6" s="1"/>
  <c r="AC87" i="6"/>
  <c r="AC88" i="6" s="1"/>
  <c r="AF80" i="6"/>
  <c r="AF81" i="6" s="1"/>
  <c r="AB87" i="6"/>
  <c r="AB88" i="6" s="1"/>
  <c r="AF66" i="6"/>
  <c r="AF67" i="6" s="1"/>
  <c r="AC73" i="6"/>
  <c r="AC74" i="6" s="1"/>
  <c r="AB73" i="6"/>
  <c r="AB74" i="6" s="1"/>
  <c r="AA66" i="6"/>
  <c r="AA67" i="6" s="1"/>
  <c r="AA80" i="6"/>
  <c r="AA81" i="6" s="1"/>
  <c r="Z88" i="5"/>
  <c r="Z89" i="5" s="1"/>
  <c r="Z81" i="5"/>
  <c r="Z82" i="5" s="1"/>
  <c r="Z74" i="5"/>
  <c r="Z75" i="5" s="1"/>
  <c r="AA66" i="5"/>
  <c r="AA67" i="5" s="1"/>
  <c r="AE66" i="5"/>
  <c r="AE67" i="5" s="1"/>
  <c r="AB87" i="4"/>
  <c r="AB88" i="4" s="1"/>
  <c r="AB80" i="4"/>
  <c r="AB81" i="4" s="1"/>
  <c r="Z87" i="3"/>
  <c r="Z88" i="3" s="1"/>
  <c r="AE80" i="3"/>
  <c r="AE81" i="3" s="1"/>
  <c r="Z80" i="3"/>
  <c r="Z81" i="3" s="1"/>
  <c r="AE66" i="3"/>
  <c r="AE67" i="3" s="1"/>
  <c r="AA88" i="2"/>
  <c r="AA89" i="2" s="1"/>
  <c r="Z66" i="5"/>
  <c r="Z67" i="5" s="1"/>
  <c r="Z66" i="3"/>
  <c r="Z67" i="3" s="1"/>
  <c r="AA66" i="2"/>
  <c r="AA67" i="2" s="1"/>
</calcChain>
</file>

<file path=xl/sharedStrings.xml><?xml version="1.0" encoding="utf-8"?>
<sst xmlns="http://schemas.openxmlformats.org/spreadsheetml/2006/main" count="3109" uniqueCount="90">
  <si>
    <t>Please select your level within Africa50.</t>
  </si>
  <si>
    <t>I feel supported by our leaders.</t>
  </si>
  <si>
    <t>I am optimistic about our organization's future.</t>
  </si>
  <si>
    <t>We refer to our Purpose when making decisions.</t>
  </si>
  <si>
    <t>We speak honestly to each other.</t>
  </si>
  <si>
    <t>It is safe to speak our minds even when our views could be controversial.¬†</t>
  </si>
  <si>
    <t>Leaders give others the opportunity to shine.</t>
  </si>
  <si>
    <t>We manage well under pressure.</t>
  </si>
  <si>
    <t>I can bring my authentic self to work.</t>
  </si>
  <si>
    <t>We work collaboratively across silos.</t>
  </si>
  <si>
    <t>We are invested in each other's success.</t>
  </si>
  <si>
    <t>We are results driven.</t>
  </si>
  <si>
    <t>We encourage differing viewpoints.</t>
  </si>
  <si>
    <t>Our meetings are generally productive.</t>
  </si>
  <si>
    <t>We proactively care for each other's wellbeing.</t>
  </si>
  <si>
    <t>We willingly accept tough feedback.</t>
  </si>
  <si>
    <t>We come together in stressful situations.</t>
  </si>
  <si>
    <t>We have high performance expectations in this company.</t>
  </si>
  <si>
    <t>Office politics do not influence behavior.</t>
  </si>
  <si>
    <t>We connect with each other on a personal level.</t>
  </si>
  <si>
    <t>Leaders behave ethically by doing the right thing.</t>
  </si>
  <si>
    <t>We effectively address poor performance.</t>
  </si>
  <si>
    <t>I feel respected in this organization.¬†</t>
  </si>
  <si>
    <t>We make an effort to understand each other.</t>
  </si>
  <si>
    <t>We recognize strong performance.¬†</t>
  </si>
  <si>
    <t>We share strategic information.</t>
  </si>
  <si>
    <t>Our decisions and behaviors reflect our values.</t>
  </si>
  <si>
    <t>We are committed to each other's success.</t>
  </si>
  <si>
    <t>We give each other the benefit of the doubt.</t>
  </si>
  <si>
    <t>We foster a sense of belonging.¬†</t>
  </si>
  <si>
    <t>We have a can-do attitude.</t>
  </si>
  <si>
    <t>Team Member</t>
  </si>
  <si>
    <t>Direct Manager</t>
  </si>
  <si>
    <t>SLT Member</t>
  </si>
  <si>
    <t>Category</t>
  </si>
  <si>
    <t>Performance</t>
  </si>
  <si>
    <t>Inspiration</t>
  </si>
  <si>
    <t>Communication</t>
  </si>
  <si>
    <t>Culture</t>
  </si>
  <si>
    <t>Wellbeing</t>
  </si>
  <si>
    <t>It is safe to speak our minds even when our views could be controversial.</t>
  </si>
  <si>
    <t>I feel respected in this organization.</t>
  </si>
  <si>
    <t>We recognize strong performance.</t>
  </si>
  <si>
    <t>We foster a sense of belonging.</t>
  </si>
  <si>
    <t>Mostly Agree</t>
  </si>
  <si>
    <t>Strongly Agree</t>
  </si>
  <si>
    <t>Overall</t>
  </si>
  <si>
    <t>All Data</t>
  </si>
  <si>
    <t>Grouped Data</t>
  </si>
  <si>
    <t>4,5</t>
  </si>
  <si>
    <t>Average</t>
  </si>
  <si>
    <t>Overall Average</t>
  </si>
  <si>
    <t>CEO/SLT</t>
  </si>
  <si>
    <t>All Levels</t>
  </si>
  <si>
    <t>Disagree</t>
  </si>
  <si>
    <t>Neutral</t>
  </si>
  <si>
    <t>Agree</t>
  </si>
  <si>
    <t>Sum</t>
  </si>
  <si>
    <t>Overall Agree</t>
  </si>
  <si>
    <t>CEO/SLT Agree</t>
  </si>
  <si>
    <t>Direct Manager Agree</t>
  </si>
  <si>
    <t>Team Member Agree</t>
  </si>
  <si>
    <t>Level</t>
  </si>
  <si>
    <t>Total</t>
  </si>
  <si>
    <t>Question</t>
  </si>
  <si>
    <t>Answer</t>
  </si>
  <si>
    <t>Highest Scores</t>
  </si>
  <si>
    <t>Lowest Scores</t>
  </si>
  <si>
    <t>question</t>
  </si>
  <si>
    <t>We Have High Performance Expectations In This Company.</t>
  </si>
  <si>
    <t>We Exhibit A Can-Do Attitude.</t>
  </si>
  <si>
    <t>We Connect With Each Other On A Personal Level.</t>
  </si>
  <si>
    <t>We Work Collaboratively Across Silos.</t>
  </si>
  <si>
    <t>We Speak Honestly To Each Other.</t>
  </si>
  <si>
    <t>We Give People The Benefit Of The Doubt.</t>
  </si>
  <si>
    <t>We Proactively Care For Each Other’s Wellbeing.</t>
  </si>
  <si>
    <t>We Are Invested In Each Other’s Success.</t>
  </si>
  <si>
    <t>We Come Together In Stressful Situations.</t>
  </si>
  <si>
    <t>It Is Safe To Speak Our Minds Even When Our Views Could Be Considered Controversial.     </t>
  </si>
  <si>
    <t>We See Ourselves As Results-Driven.</t>
  </si>
  <si>
    <t>Leaders Behave Ethically.</t>
  </si>
  <si>
    <t>Leaders Give Others The Opportunity To Shine.</t>
  </si>
  <si>
    <t>We Are Purpose-Driven.</t>
  </si>
  <si>
    <t>We Effectively Address Poor Performance.</t>
  </si>
  <si>
    <t>We Willing Accept Tough Feedback.</t>
  </si>
  <si>
    <t>We Are Committed To Each Other’s Success.</t>
  </si>
  <si>
    <t>I Feel Supported By Our Leaders.</t>
  </si>
  <si>
    <t>I Feel Respected In The Organization.</t>
  </si>
  <si>
    <t>I Can Bring My Authentic Self To Work.</t>
  </si>
  <si>
    <t>I Am Optimistic About The Organization's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</si>
</sst>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64" fontId="0" fillId="36" borderId="0" xfId="0" applyNumberFormat="1" applyFill="1"/>
    <xf numFmtId="9" fontId="0" fillId="35" borderId="0" xfId="1" applyFont="1" applyFill="1"/>
    <xf numFmtId="0" fontId="18" fillId="37" borderId="0" xfId="0" applyFont="1" applyFill="1"/>
    <xf numFmtId="0" fontId="18" fillId="0" borderId="0" xfId="0" applyFont="1"/>
    <xf numFmtId="0" fontId="0" fillId="38" borderId="0" xfId="0" applyFill="1"/>
    <xf numFmtId="0" fontId="0" fillId="39" borderId="0" xfId="0" applyFill="1"/>
    <xf numFmtId="9" fontId="0" fillId="39" borderId="0" xfId="1" applyFont="1" applyFill="1"/>
    <xf numFmtId="0" fontId="18" fillId="40" borderId="0" xfId="0" applyFont="1" applyFill="1"/>
    <xf numFmtId="0" fontId="18" fillId="41" borderId="0" xfId="0" applyFont="1" applyFill="1"/>
    <xf numFmtId="9" fontId="18" fillId="41" borderId="0" xfId="1" applyFont="1" applyFill="1"/>
    <xf numFmtId="9" fontId="0" fillId="0" borderId="0" xfId="1" applyFont="1"/>
    <xf numFmtId="0" fontId="19" fillId="42" borderId="0" xfId="0" applyFont="1" applyFill="1"/>
    <xf numFmtId="9" fontId="18" fillId="42" borderId="0" xfId="0" applyNumberFormat="1" applyFont="1" applyFill="1"/>
    <xf numFmtId="9" fontId="19" fillId="42" borderId="0" xfId="0" applyNumberFormat="1" applyFont="1" applyFill="1"/>
    <xf numFmtId="0" fontId="19" fillId="39" borderId="0" xfId="0" applyFont="1" applyFill="1"/>
    <xf numFmtId="9" fontId="18" fillId="39" borderId="0" xfId="0" applyNumberFormat="1" applyFont="1" applyFill="1"/>
    <xf numFmtId="9" fontId="19" fillId="39" borderId="0" xfId="0" applyNumberFormat="1" applyFont="1" applyFill="1"/>
    <xf numFmtId="0" fontId="0" fillId="43" borderId="0" xfId="0" applyFill="1"/>
    <xf numFmtId="9" fontId="0" fillId="43" borderId="0" xfId="1" applyFont="1" applyFill="1"/>
    <xf numFmtId="9" fontId="0" fillId="43" borderId="0" xfId="0" applyNumberFormat="1" applyFill="1"/>
    <xf numFmtId="9" fontId="0" fillId="0" borderId="0" xfId="0" applyNumberFormat="1"/>
    <xf numFmtId="9" fontId="18" fillId="44" borderId="0" xfId="0" applyNumberFormat="1" applyFont="1" applyFill="1"/>
    <xf numFmtId="9" fontId="18" fillId="0" borderId="0" xfId="0" applyNumberFormat="1" applyFont="1"/>
    <xf numFmtId="0" fontId="20" fillId="0" borderId="0" xfId="0" applyFont="1"/>
    <xf numFmtId="9" fontId="20" fillId="0" borderId="0" xfId="0" applyNumberFormat="1" applyFont="1"/>
    <xf numFmtId="165" fontId="0" fillId="35" borderId="0" xfId="1" applyNumberFormat="1" applyFont="1" applyFill="1"/>
    <xf numFmtId="165" fontId="0" fillId="0" borderId="0" xfId="0" applyNumberFormat="1"/>
    <xf numFmtId="166" fontId="0" fillId="35" borderId="0" xfId="1" applyNumberFormat="1" applyFont="1" applyFill="1"/>
    <xf numFmtId="167" fontId="0" fillId="35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6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7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8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9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0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1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2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3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4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5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6.xml"/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7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8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9.xml"/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0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1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2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3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4.xml"/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5.xml"/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6.xml"/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7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8.xml"/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9.xml"/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0.xml"/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1.xml"/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2.xml"/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3.xml"/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4.xml"/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5.xml"/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6.xml"/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7.xml"/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Communication!$B$64:$G$64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Communication!$B$65:$G$65</c:f>
              <c:numCache>
                <c:formatCode>0.0</c:formatCode>
                <c:ptCount val="6"/>
                <c:pt idx="0">
                  <c:v>3.75</c:v>
                </c:pt>
                <c:pt idx="1">
                  <c:v>4.25</c:v>
                </c:pt>
                <c:pt idx="2">
                  <c:v>3.5</c:v>
                </c:pt>
                <c:pt idx="3">
                  <c:v>3.25</c:v>
                </c:pt>
                <c:pt idx="4">
                  <c:v>4.25</c:v>
                </c:pt>
                <c:pt idx="5">
                  <c:v>3.875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Communication!$B$67:$G$67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Communication!$B$68:$G$68</c:f>
              <c:numCache>
                <c:formatCode>0.0</c:formatCode>
                <c:ptCount val="6"/>
                <c:pt idx="0">
                  <c:v>3.6363636363636362</c:v>
                </c:pt>
                <c:pt idx="1">
                  <c:v>3.8181818181818183</c:v>
                </c:pt>
                <c:pt idx="2">
                  <c:v>3.6363636363636362</c:v>
                </c:pt>
                <c:pt idx="3">
                  <c:v>2.9090909090909092</c:v>
                </c:pt>
                <c:pt idx="4">
                  <c:v>4</c:v>
                </c:pt>
                <c:pt idx="5">
                  <c:v>3.7272727272727271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Communication!$B$70:$G$70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Communication!$B$71:$G$71</c:f>
              <c:numCache>
                <c:formatCode>0.0</c:formatCode>
                <c:ptCount val="6"/>
                <c:pt idx="0">
                  <c:v>3.8157894736842106</c:v>
                </c:pt>
                <c:pt idx="1">
                  <c:v>3.9210526315789473</c:v>
                </c:pt>
                <c:pt idx="2">
                  <c:v>3.7105263157894739</c:v>
                </c:pt>
                <c:pt idx="3">
                  <c:v>3.0789473684210527</c:v>
                </c:pt>
                <c:pt idx="4">
                  <c:v>3.8947368421052633</c:v>
                </c:pt>
                <c:pt idx="5">
                  <c:v>3.6578947368421053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Communication!$B$3:$G$3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Communication!$B$61:$G$61</c:f>
              <c:numCache>
                <c:formatCode>0.0</c:formatCode>
                <c:ptCount val="6"/>
                <c:pt idx="0">
                  <c:v>3.7719298245614037</c:v>
                </c:pt>
                <c:pt idx="1">
                  <c:v>3.9473684210526314</c:v>
                </c:pt>
                <c:pt idx="2">
                  <c:v>3.6666666666666665</c:v>
                </c:pt>
                <c:pt idx="3">
                  <c:v>3.0701754385964914</c:v>
                </c:pt>
                <c:pt idx="4">
                  <c:v>3.9649122807017543</c:v>
                </c:pt>
                <c:pt idx="5">
                  <c:v>3.7017543859649122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Communication!$J$69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Communication!$K$68:$P$68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Communication!$K$69:$P$69</c:f>
              <c:numCache>
                <c:formatCode>0.0%</c:formatCode>
                <c:ptCount val="6"/>
                <c:pt idx="0">
                  <c:v>7.0175438596491224E-2</c:v>
                </c:pt>
                <c:pt idx="1">
                  <c:v>3.5087719298245612E-2</c:v>
                </c:pt>
                <c:pt idx="2">
                  <c:v>0.12280701754385964</c:v>
                </c:pt>
                <c:pt idx="3">
                  <c:v>0.2807017543859649</c:v>
                </c:pt>
                <c:pt idx="4">
                  <c:v>1.7543859649122806E-2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Communication!$J$70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Communication!$K$68:$P$68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Communication!$K$70:$P$70</c:f>
              <c:numCache>
                <c:formatCode>0.0%</c:formatCode>
                <c:ptCount val="6"/>
                <c:pt idx="0">
                  <c:v>0.31578947368421051</c:v>
                </c:pt>
                <c:pt idx="1">
                  <c:v>0.24561403508771928</c:v>
                </c:pt>
                <c:pt idx="2">
                  <c:v>0.26315789473684209</c:v>
                </c:pt>
                <c:pt idx="3">
                  <c:v>0.38596491228070173</c:v>
                </c:pt>
                <c:pt idx="4">
                  <c:v>0.22807017543859648</c:v>
                </c:pt>
                <c:pt idx="5">
                  <c:v>0.2807017543859649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Communication!$J$71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Communication!$K$68:$P$68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Communication!$K$71:$P$71</c:f>
              <c:numCache>
                <c:formatCode>0.0%</c:formatCode>
                <c:ptCount val="6"/>
                <c:pt idx="0">
                  <c:v>0.61403508771929827</c:v>
                </c:pt>
                <c:pt idx="1">
                  <c:v>0.7192982456140351</c:v>
                </c:pt>
                <c:pt idx="2">
                  <c:v>0.61403508771929827</c:v>
                </c:pt>
                <c:pt idx="3">
                  <c:v>0.33333333333333331</c:v>
                </c:pt>
                <c:pt idx="4">
                  <c:v>0.75438596491228072</c:v>
                </c:pt>
                <c:pt idx="5">
                  <c:v>0.64912280701754388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Communication!$Z$67</c:f>
              <c:strCache>
                <c:ptCount val="1"/>
                <c:pt idx="0">
                  <c:v>Overall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Communication!$AA$63:$AF$63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Communication!$AA$67:$AF$67</c:f>
              <c:numCache>
                <c:formatCode>0%</c:formatCode>
                <c:ptCount val="6"/>
                <c:pt idx="0">
                  <c:v>0.59649122807017541</c:v>
                </c:pt>
                <c:pt idx="1">
                  <c:v>0.7192982456140351</c:v>
                </c:pt>
                <c:pt idx="2">
                  <c:v>0.59649122807017541</c:v>
                </c:pt>
                <c:pt idx="3">
                  <c:v>0.33333333333333331</c:v>
                </c:pt>
                <c:pt idx="4">
                  <c:v>0.73684210526315785</c:v>
                </c:pt>
                <c:pt idx="5">
                  <c:v>0.63157894736842102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Communication!$J$78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Communication!$K$77:$P$77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Communication!$K$78:$P$78</c:f>
              <c:numCache>
                <c:formatCode>0.0000</c:formatCode>
                <c:ptCount val="6"/>
                <c:pt idx="0">
                  <c:v>0.125</c:v>
                </c:pt>
                <c:pt idx="1">
                  <c:v>0</c:v>
                </c:pt>
                <c:pt idx="2">
                  <c:v>0.125</c:v>
                </c:pt>
                <c:pt idx="3">
                  <c:v>0.25</c:v>
                </c:pt>
                <c:pt idx="4">
                  <c:v>0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Communication!$J$79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Communication!$K$77:$P$77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Communication!$K$79:$P$79</c:f>
              <c:numCache>
                <c:formatCode>0.0000</c:formatCode>
                <c:ptCount val="6"/>
                <c:pt idx="0">
                  <c:v>0.25</c:v>
                </c:pt>
                <c:pt idx="1">
                  <c:v>0</c:v>
                </c:pt>
                <c:pt idx="2">
                  <c:v>0.375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Communication!$J$80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Communication!$K$77:$P$77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Communication!$K$80:$P$80</c:f>
              <c:numCache>
                <c:formatCode>0.0000</c:formatCode>
                <c:ptCount val="6"/>
                <c:pt idx="0">
                  <c:v>0.625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Communication!$J$90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Communication!$K$89:$P$89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Communication!$K$90:$P$90</c:f>
              <c:numCache>
                <c:formatCode>0.000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0.18181818181818182</c:v>
                </c:pt>
                <c:pt idx="3">
                  <c:v>0.36363636363636365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Communication!$J$91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Communication!$K$89:$P$89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Communication!$K$91:$P$91</c:f>
              <c:numCache>
                <c:formatCode>0.000</c:formatCode>
                <c:ptCount val="6"/>
                <c:pt idx="0">
                  <c:v>0.36363636363636365</c:v>
                </c:pt>
                <c:pt idx="1">
                  <c:v>0.36363636363636365</c:v>
                </c:pt>
                <c:pt idx="2">
                  <c:v>9.0909090909090912E-2</c:v>
                </c:pt>
                <c:pt idx="3">
                  <c:v>0.36363636363636365</c:v>
                </c:pt>
                <c:pt idx="4">
                  <c:v>0.18181818181818182</c:v>
                </c:pt>
                <c:pt idx="5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Communication!$J$92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Communication!$K$89:$P$89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Communication!$K$92:$P$92</c:f>
              <c:numCache>
                <c:formatCode>0.000</c:formatCode>
                <c:ptCount val="6"/>
                <c:pt idx="0">
                  <c:v>0.63636363636363635</c:v>
                </c:pt>
                <c:pt idx="1">
                  <c:v>0.63636363636363635</c:v>
                </c:pt>
                <c:pt idx="2">
                  <c:v>0.72727272727272729</c:v>
                </c:pt>
                <c:pt idx="3">
                  <c:v>0.27272727272727271</c:v>
                </c:pt>
                <c:pt idx="4">
                  <c:v>0.81818181818181823</c:v>
                </c:pt>
                <c:pt idx="5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Communication!$J$103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Communication!$K$102:$P$102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Communication!$K$103:$P$103</c:f>
              <c:numCache>
                <c:formatCode>0.0000</c:formatCode>
                <c:ptCount val="6"/>
                <c:pt idx="0">
                  <c:v>7.8947368421052627E-2</c:v>
                </c:pt>
                <c:pt idx="1">
                  <c:v>5.2631578947368418E-2</c:v>
                </c:pt>
                <c:pt idx="2">
                  <c:v>0.10526315789473684</c:v>
                </c:pt>
                <c:pt idx="3">
                  <c:v>0.26315789473684209</c:v>
                </c:pt>
                <c:pt idx="4">
                  <c:v>2.6315789473684209E-2</c:v>
                </c:pt>
                <c:pt idx="5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Communication!$J$104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Communication!$K$102:$P$102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Communication!$K$104:$P$104</c:f>
              <c:numCache>
                <c:formatCode>0.0000</c:formatCode>
                <c:ptCount val="6"/>
                <c:pt idx="0">
                  <c:v>0.31578947368421051</c:v>
                </c:pt>
                <c:pt idx="1">
                  <c:v>0.26315789473684209</c:v>
                </c:pt>
                <c:pt idx="2">
                  <c:v>0.28947368421052633</c:v>
                </c:pt>
                <c:pt idx="3">
                  <c:v>0.42105263157894735</c:v>
                </c:pt>
                <c:pt idx="4">
                  <c:v>0.28947368421052633</c:v>
                </c:pt>
                <c:pt idx="5">
                  <c:v>0.34210526315789475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Communication!$J$105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Communication!$K$102:$P$102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Communication!$K$105:$P$105</c:f>
              <c:numCache>
                <c:formatCode>0.0000</c:formatCode>
                <c:ptCount val="6"/>
                <c:pt idx="0">
                  <c:v>0.60526315789473684</c:v>
                </c:pt>
                <c:pt idx="1">
                  <c:v>0.68421052631578949</c:v>
                </c:pt>
                <c:pt idx="2">
                  <c:v>0.60526315789473684</c:v>
                </c:pt>
                <c:pt idx="3">
                  <c:v>0.31578947368421051</c:v>
                </c:pt>
                <c:pt idx="4">
                  <c:v>0.68421052631578949</c:v>
                </c:pt>
                <c:pt idx="5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Communication!$Z$75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Communication!$AA$71:$AF$71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Communication!$AA$75:$AF$75</c:f>
              <c:numCache>
                <c:formatCode>0%</c:formatCode>
                <c:ptCount val="6"/>
                <c:pt idx="0">
                  <c:v>0.625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Communication!$Z$82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Communication!$AA$78:$AF$78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Communication!$AA$82:$AF$82</c:f>
              <c:numCache>
                <c:formatCode>0%</c:formatCode>
                <c:ptCount val="6"/>
                <c:pt idx="0">
                  <c:v>0.63636363636363635</c:v>
                </c:pt>
                <c:pt idx="1">
                  <c:v>0.63636363636363635</c:v>
                </c:pt>
                <c:pt idx="2">
                  <c:v>0.72727272727272729</c:v>
                </c:pt>
                <c:pt idx="3">
                  <c:v>0.27272727272727271</c:v>
                </c:pt>
                <c:pt idx="4">
                  <c:v>0.81818181818181823</c:v>
                </c:pt>
                <c:pt idx="5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Communication!$Z$89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Communication!$AA$85:$AF$85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Communication!$AA$89:$AF$89</c:f>
              <c:numCache>
                <c:formatCode>0%</c:formatCode>
                <c:ptCount val="6"/>
                <c:pt idx="0">
                  <c:v>0.60526315789473684</c:v>
                </c:pt>
                <c:pt idx="1">
                  <c:v>0.68421052631578949</c:v>
                </c:pt>
                <c:pt idx="2">
                  <c:v>0.60526315789473684</c:v>
                </c:pt>
                <c:pt idx="3">
                  <c:v>0.31578947368421051</c:v>
                </c:pt>
                <c:pt idx="4">
                  <c:v>0.68421052631578949</c:v>
                </c:pt>
                <c:pt idx="5">
                  <c:v>0.57894736842105265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speak honestly to each other.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Communication!$J$112:$K$112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Communication!$L$111:$N$111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Communication!$L$112:$N$112</c:f>
              <c:numCache>
                <c:formatCode>0%</c:formatCode>
                <c:ptCount val="3"/>
                <c:pt idx="0">
                  <c:v>0.125</c:v>
                </c:pt>
                <c:pt idx="1">
                  <c:v>0.25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Communication!$J$113:$K$113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Communication!$L$111:$N$111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Communication!$L$113:$N$113</c:f>
              <c:numCache>
                <c:formatCode>0%</c:formatCode>
                <c:ptCount val="3"/>
                <c:pt idx="0">
                  <c:v>0</c:v>
                </c:pt>
                <c:pt idx="1">
                  <c:v>0.36363636363636365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Communication!$J$114:$K$114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Communication!$L$111:$N$111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Communication!$L$114:$N$114</c:f>
              <c:numCache>
                <c:formatCode>0%</c:formatCode>
                <c:ptCount val="3"/>
                <c:pt idx="0">
                  <c:v>7.8947368421052627E-2</c:v>
                </c:pt>
                <c:pt idx="1">
                  <c:v>0.31578947368421051</c:v>
                </c:pt>
                <c:pt idx="2">
                  <c:v>0.60526315789473684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encourage differing viewpoints.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Communication!$J$116:$K$116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Communication!$L$115:$N$115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Communication!$L$116:$N$116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Communication!$J$117:$K$117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Communication!$L$115:$N$115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Communication!$L$117:$N$117</c:f>
              <c:numCache>
                <c:formatCode>0%</c:formatCode>
                <c:ptCount val="3"/>
                <c:pt idx="0">
                  <c:v>0</c:v>
                </c:pt>
                <c:pt idx="1">
                  <c:v>0.36363636363636365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Communication!$J$118:$K$118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Communication!$L$115:$N$115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Communication!$L$118:$N$118</c:f>
              <c:numCache>
                <c:formatCode>0%</c:formatCode>
                <c:ptCount val="3"/>
                <c:pt idx="0">
                  <c:v>5.2631578947368418E-2</c:v>
                </c:pt>
                <c:pt idx="1">
                  <c:v>0.26315789473684209</c:v>
                </c:pt>
                <c:pt idx="2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Our meetings are generally productive.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Communication!$J$120:$K$120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Communication!$L$119:$N$119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Communication!$L$120:$N$120</c:f>
              <c:numCache>
                <c:formatCode>0%</c:formatCode>
                <c:ptCount val="3"/>
                <c:pt idx="0">
                  <c:v>0.125</c:v>
                </c:pt>
                <c:pt idx="1">
                  <c:v>0.375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Communication!$J$121:$K$121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Communication!$L$119:$N$119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Communication!$L$121:$N$121</c:f>
              <c:numCache>
                <c:formatCode>0%</c:formatCode>
                <c:ptCount val="3"/>
                <c:pt idx="0">
                  <c:v>0.18181818181818182</c:v>
                </c:pt>
                <c:pt idx="1">
                  <c:v>9.0909090909090912E-2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Communication!$J$122:$K$122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Communication!$L$119:$N$119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Communication!$L$122:$N$122</c:f>
              <c:numCache>
                <c:formatCode>0%</c:formatCode>
                <c:ptCount val="3"/>
                <c:pt idx="0">
                  <c:v>0.10526315789473684</c:v>
                </c:pt>
                <c:pt idx="1">
                  <c:v>0.28947368421052633</c:v>
                </c:pt>
                <c:pt idx="2">
                  <c:v>0.60526315789473684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Office politics do not influence behavior.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Communication!$J$124:$K$124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Communication!$L$123:$N$123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Communication!$L$124:$N$124</c:f>
              <c:numCache>
                <c:formatCode>0%</c:formatCode>
                <c:ptCount val="3"/>
                <c:pt idx="0">
                  <c:v>0.25</c:v>
                </c:pt>
                <c:pt idx="1">
                  <c:v>0.25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Communication!$J$125:$K$125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Communication!$L$123:$N$123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Communication!$L$125:$N$125</c:f>
              <c:numCache>
                <c:formatCode>0%</c:formatCode>
                <c:ptCount val="3"/>
                <c:pt idx="0">
                  <c:v>0.36363636363636365</c:v>
                </c:pt>
                <c:pt idx="1">
                  <c:v>0.36363636363636365</c:v>
                </c:pt>
                <c:pt idx="2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Communication!$J$126:$K$126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Communication!$L$123:$N$123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Communication!$L$126:$N$126</c:f>
              <c:numCache>
                <c:formatCode>0%</c:formatCode>
                <c:ptCount val="3"/>
                <c:pt idx="0">
                  <c:v>0.26315789473684209</c:v>
                </c:pt>
                <c:pt idx="1">
                  <c:v>0.42105263157894735</c:v>
                </c:pt>
                <c:pt idx="2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make an effort to understand each other.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Communication!$J$128:$K$128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4472C4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Communication!$L$127:$N$127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Communication!$L$128:$N$128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Communication!$J$129:$K$129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Communication!$L$127:$N$127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Communication!$L$129:$N$129</c:f>
              <c:numCache>
                <c:formatCode>0%</c:formatCode>
                <c:ptCount val="3"/>
                <c:pt idx="0">
                  <c:v>0</c:v>
                </c:pt>
                <c:pt idx="1">
                  <c:v>0.18181818181818182</c:v>
                </c:pt>
                <c:pt idx="2">
                  <c:v>0.81818181818181823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Communication!$J$130:$K$130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Communication!$L$127:$N$127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Communication!$L$130:$N$130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0.28947368421052633</c:v>
                </c:pt>
                <c:pt idx="2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share strategic information.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Communication!$J$132:$K$132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Communication!$L$131:$N$131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Communication!$L$132:$N$132</c:f>
              <c:numCache>
                <c:formatCode>0%</c:formatCode>
                <c:ptCount val="3"/>
                <c:pt idx="0">
                  <c:v>0.125</c:v>
                </c:pt>
                <c:pt idx="1">
                  <c:v>0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Communication!$J$133:$K$133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Communication!$L$131:$N$131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Communication!$L$133:$N$133</c:f>
              <c:numCache>
                <c:formatCode>0%</c:formatCode>
                <c:ptCount val="3"/>
                <c:pt idx="0">
                  <c:v>0</c:v>
                </c:pt>
                <c:pt idx="1">
                  <c:v>0.27272727272727271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Communication!$J$134:$K$134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Communication!$L$131:$N$131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Communication!$L$134:$N$134</c:f>
              <c:numCache>
                <c:formatCode>0%</c:formatCode>
                <c:ptCount val="3"/>
                <c:pt idx="0">
                  <c:v>7.8947368421052627E-2</c:v>
                </c:pt>
                <c:pt idx="1">
                  <c:v>0.34210526315789475</c:v>
                </c:pt>
                <c:pt idx="2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Communication!$K$171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05-B549-A814-5368BB9A04A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305-B549-A814-5368BB9A04A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05-B549-A814-5368BB9A04A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05-B549-A814-5368BB9A04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Communication!$I$172:$J$182</c15:sqref>
                  </c15:fullRef>
                  <c15:levelRef>
                    <c15:sqref>Communication!$J$172:$J$182</c15:sqref>
                  </c15:levelRef>
                </c:ext>
              </c:extLst>
              <c:f>Communication!$J$172:$J$182</c:f>
              <c:strCache>
                <c:ptCount val="11"/>
                <c:pt idx="0">
                  <c:v>CEO/SLT</c:v>
                </c:pt>
                <c:pt idx="1">
                  <c:v>Direct Manager</c:v>
                </c:pt>
                <c:pt idx="2">
                  <c:v>Team Member</c:v>
                </c:pt>
                <c:pt idx="4">
                  <c:v>CEO/SLT</c:v>
                </c:pt>
                <c:pt idx="5">
                  <c:v>Direct Manager</c:v>
                </c:pt>
                <c:pt idx="6">
                  <c:v>Team Member</c:v>
                </c:pt>
                <c:pt idx="8">
                  <c:v>CEO/SLT</c:v>
                </c:pt>
                <c:pt idx="9">
                  <c:v>Direct Manager</c:v>
                </c:pt>
                <c:pt idx="10">
                  <c:v>Team Member</c:v>
                </c:pt>
              </c:strCache>
            </c:strRef>
          </c:cat>
          <c:val>
            <c:numRef>
              <c:f>Communication!$K$172:$K$182</c:f>
              <c:numCache>
                <c:formatCode>0%</c:formatCode>
                <c:ptCount val="11"/>
                <c:pt idx="0">
                  <c:v>0.125</c:v>
                </c:pt>
                <c:pt idx="1">
                  <c:v>0</c:v>
                </c:pt>
                <c:pt idx="2">
                  <c:v>7.8947368421052627E-2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5.2631578947368418E-2</c:v>
                </c:pt>
                <c:pt idx="7">
                  <c:v>0</c:v>
                </c:pt>
                <c:pt idx="8">
                  <c:v>0.125</c:v>
                </c:pt>
                <c:pt idx="9">
                  <c:v>0.18181818181818182</c:v>
                </c:pt>
                <c:pt idx="10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5-B549-A814-5368BB9A04A6}"/>
            </c:ext>
          </c:extLst>
        </c:ser>
        <c:ser>
          <c:idx val="1"/>
          <c:order val="1"/>
          <c:tx>
            <c:strRef>
              <c:f>Communication!$L$171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05-B549-A814-5368BB9A04A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05-B549-A814-5368BB9A04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Communication!$I$172:$J$182</c15:sqref>
                  </c15:fullRef>
                  <c15:levelRef>
                    <c15:sqref>Communication!$J$172:$J$182</c15:sqref>
                  </c15:levelRef>
                </c:ext>
              </c:extLst>
              <c:f>Communication!$J$172:$J$182</c:f>
              <c:strCache>
                <c:ptCount val="11"/>
                <c:pt idx="0">
                  <c:v>CEO/SLT</c:v>
                </c:pt>
                <c:pt idx="1">
                  <c:v>Direct Manager</c:v>
                </c:pt>
                <c:pt idx="2">
                  <c:v>Team Member</c:v>
                </c:pt>
                <c:pt idx="4">
                  <c:v>CEO/SLT</c:v>
                </c:pt>
                <c:pt idx="5">
                  <c:v>Direct Manager</c:v>
                </c:pt>
                <c:pt idx="6">
                  <c:v>Team Member</c:v>
                </c:pt>
                <c:pt idx="8">
                  <c:v>CEO/SLT</c:v>
                </c:pt>
                <c:pt idx="9">
                  <c:v>Direct Manager</c:v>
                </c:pt>
                <c:pt idx="10">
                  <c:v>Team Member</c:v>
                </c:pt>
              </c:strCache>
            </c:strRef>
          </c:cat>
          <c:val>
            <c:numRef>
              <c:f>Communication!$L$172:$L$182</c:f>
              <c:numCache>
                <c:formatCode>0%</c:formatCode>
                <c:ptCount val="11"/>
                <c:pt idx="0">
                  <c:v>0.25</c:v>
                </c:pt>
                <c:pt idx="1">
                  <c:v>0.36363636363636365</c:v>
                </c:pt>
                <c:pt idx="2">
                  <c:v>0.31578947368421051</c:v>
                </c:pt>
                <c:pt idx="3">
                  <c:v>0</c:v>
                </c:pt>
                <c:pt idx="4">
                  <c:v>0</c:v>
                </c:pt>
                <c:pt idx="5">
                  <c:v>0.36363636363636365</c:v>
                </c:pt>
                <c:pt idx="6">
                  <c:v>0.26315789473684209</c:v>
                </c:pt>
                <c:pt idx="7">
                  <c:v>0</c:v>
                </c:pt>
                <c:pt idx="8">
                  <c:v>0.375</c:v>
                </c:pt>
                <c:pt idx="9">
                  <c:v>9.0909090909090912E-2</c:v>
                </c:pt>
                <c:pt idx="10">
                  <c:v>0.28947368421052633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5-B549-A814-5368BB9A04A6}"/>
            </c:ext>
          </c:extLst>
        </c:ser>
        <c:ser>
          <c:idx val="2"/>
          <c:order val="2"/>
          <c:tx>
            <c:strRef>
              <c:f>Communication!$M$171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05-B549-A814-5368BB9A04A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05-B549-A814-5368BB9A04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Communication!$I$172:$J$182</c15:sqref>
                  </c15:fullRef>
                  <c15:levelRef>
                    <c15:sqref>Communication!$J$172:$J$182</c15:sqref>
                  </c15:levelRef>
                </c:ext>
              </c:extLst>
              <c:f>Communication!$J$172:$J$182</c:f>
              <c:strCache>
                <c:ptCount val="11"/>
                <c:pt idx="0">
                  <c:v>CEO/SLT</c:v>
                </c:pt>
                <c:pt idx="1">
                  <c:v>Direct Manager</c:v>
                </c:pt>
                <c:pt idx="2">
                  <c:v>Team Member</c:v>
                </c:pt>
                <c:pt idx="4">
                  <c:v>CEO/SLT</c:v>
                </c:pt>
                <c:pt idx="5">
                  <c:v>Direct Manager</c:v>
                </c:pt>
                <c:pt idx="6">
                  <c:v>Team Member</c:v>
                </c:pt>
                <c:pt idx="8">
                  <c:v>CEO/SLT</c:v>
                </c:pt>
                <c:pt idx="9">
                  <c:v>Direct Manager</c:v>
                </c:pt>
                <c:pt idx="10">
                  <c:v>Team Member</c:v>
                </c:pt>
              </c:strCache>
            </c:strRef>
          </c:cat>
          <c:val>
            <c:numRef>
              <c:f>Communication!$M$172:$M$182</c:f>
              <c:numCache>
                <c:formatCode>0%</c:formatCode>
                <c:ptCount val="11"/>
                <c:pt idx="0">
                  <c:v>0.625</c:v>
                </c:pt>
                <c:pt idx="1">
                  <c:v>0.63636363636363635</c:v>
                </c:pt>
                <c:pt idx="2">
                  <c:v>0.60526315789473684</c:v>
                </c:pt>
                <c:pt idx="3">
                  <c:v>0</c:v>
                </c:pt>
                <c:pt idx="4">
                  <c:v>1</c:v>
                </c:pt>
                <c:pt idx="5">
                  <c:v>0.63636363636363635</c:v>
                </c:pt>
                <c:pt idx="6">
                  <c:v>0.68421052631578949</c:v>
                </c:pt>
                <c:pt idx="7">
                  <c:v>0</c:v>
                </c:pt>
                <c:pt idx="8">
                  <c:v>0.5</c:v>
                </c:pt>
                <c:pt idx="9">
                  <c:v>0.72727272727272729</c:v>
                </c:pt>
                <c:pt idx="10">
                  <c:v>0.60526315789473684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5-B549-A814-5368BB9A04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"/>
        <c:overlap val="23"/>
        <c:axId val="1721549583"/>
        <c:axId val="1721421775"/>
      </c:barChart>
      <c:catAx>
        <c:axId val="172154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Medium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721421775"/>
        <c:crosses val="autoZero"/>
        <c:auto val="1"/>
        <c:lblAlgn val="ctr"/>
        <c:lblOffset val="100"/>
        <c:noMultiLvlLbl val="0"/>
      </c:catAx>
      <c:valAx>
        <c:axId val="17214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72154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nto Normal Medium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Communication!$W$187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Communication!$X$186:$Z$186</c:f>
              <c:strCache>
                <c:ptCount val="3"/>
                <c:pt idx="0">
                  <c:v>SLT Member</c:v>
                </c:pt>
                <c:pt idx="1">
                  <c:v>Direct Manager</c:v>
                </c:pt>
                <c:pt idx="2">
                  <c:v>Team Member</c:v>
                </c:pt>
              </c:strCache>
            </c:strRef>
          </c:cat>
          <c:val>
            <c:numRef>
              <c:f>Communication!$X$187:$Z$187</c:f>
              <c:numCache>
                <c:formatCode>0%</c:formatCode>
                <c:ptCount val="3"/>
                <c:pt idx="0">
                  <c:v>0.125</c:v>
                </c:pt>
                <c:pt idx="1">
                  <c:v>0</c:v>
                </c:pt>
                <c:pt idx="2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7-5A48-B8FF-8D4A6C1C10BE}"/>
            </c:ext>
          </c:extLst>
        </c:ser>
        <c:ser>
          <c:idx val="1"/>
          <c:order val="1"/>
          <c:tx>
            <c:strRef>
              <c:f>Communication!$W$188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Communication!$X$186:$Z$186</c:f>
              <c:strCache>
                <c:ptCount val="3"/>
                <c:pt idx="0">
                  <c:v>SLT Member</c:v>
                </c:pt>
                <c:pt idx="1">
                  <c:v>Direct Manager</c:v>
                </c:pt>
                <c:pt idx="2">
                  <c:v>Team Member</c:v>
                </c:pt>
              </c:strCache>
            </c:strRef>
          </c:cat>
          <c:val>
            <c:numRef>
              <c:f>Communication!$X$188:$Z$188</c:f>
              <c:numCache>
                <c:formatCode>0%</c:formatCode>
                <c:ptCount val="3"/>
                <c:pt idx="0">
                  <c:v>0.25</c:v>
                </c:pt>
                <c:pt idx="1">
                  <c:v>0.36363636363636365</c:v>
                </c:pt>
                <c:pt idx="2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7-5A48-B8FF-8D4A6C1C10BE}"/>
            </c:ext>
          </c:extLst>
        </c:ser>
        <c:ser>
          <c:idx val="2"/>
          <c:order val="2"/>
          <c:tx>
            <c:strRef>
              <c:f>Communication!$W$189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Communication!$X$186:$Z$186</c:f>
              <c:strCache>
                <c:ptCount val="3"/>
                <c:pt idx="0">
                  <c:v>SLT Member</c:v>
                </c:pt>
                <c:pt idx="1">
                  <c:v>Direct Manager</c:v>
                </c:pt>
                <c:pt idx="2">
                  <c:v>Team Member</c:v>
                </c:pt>
              </c:strCache>
            </c:strRef>
          </c:cat>
          <c:val>
            <c:numRef>
              <c:f>Communication!$X$189:$Z$189</c:f>
              <c:numCache>
                <c:formatCode>0%</c:formatCode>
                <c:ptCount val="3"/>
                <c:pt idx="0">
                  <c:v>0.625</c:v>
                </c:pt>
                <c:pt idx="1">
                  <c:v>0.63636363636363635</c:v>
                </c:pt>
                <c:pt idx="2">
                  <c:v>0.60526315789473684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7-5A48-B8FF-8D4A6C1C1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5321871"/>
        <c:axId val="1987944959"/>
      </c:barChart>
      <c:catAx>
        <c:axId val="16453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44959"/>
        <c:crosses val="autoZero"/>
        <c:auto val="1"/>
        <c:lblAlgn val="ctr"/>
        <c:lblOffset val="100"/>
        <c:noMultiLvlLbl val="0"/>
      </c:catAx>
      <c:valAx>
        <c:axId val="19879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2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Culture!$B$3:$G$3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Culture!$B$61:$G$61</c:f>
              <c:numCache>
                <c:formatCode>0.0</c:formatCode>
                <c:ptCount val="6"/>
                <c:pt idx="0">
                  <c:v>3.7543859649122808</c:v>
                </c:pt>
                <c:pt idx="1">
                  <c:v>3.5964912280701755</c:v>
                </c:pt>
                <c:pt idx="2">
                  <c:v>4.3157894736842106</c:v>
                </c:pt>
                <c:pt idx="3">
                  <c:v>3.8421052631578947</c:v>
                </c:pt>
                <c:pt idx="4">
                  <c:v>3.6491228070175437</c:v>
                </c:pt>
                <c:pt idx="5">
                  <c:v>4.3508771929824563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1-B44A-BDAD-B3EDAB4B1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Culture!$B$64:$G$64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Culture!$B$65:$G$65</c:f>
              <c:numCache>
                <c:formatCode>0.0</c:formatCode>
                <c:ptCount val="6"/>
                <c:pt idx="0">
                  <c:v>4.125</c:v>
                </c:pt>
                <c:pt idx="1">
                  <c:v>3.5</c:v>
                </c:pt>
                <c:pt idx="2">
                  <c:v>4.375</c:v>
                </c:pt>
                <c:pt idx="3">
                  <c:v>4</c:v>
                </c:pt>
                <c:pt idx="4">
                  <c:v>3.75</c:v>
                </c:pt>
                <c:pt idx="5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Culture!$B$67:$G$67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Culture!$B$68:$G$68</c:f>
              <c:numCache>
                <c:formatCode>0.0</c:formatCode>
                <c:ptCount val="6"/>
                <c:pt idx="0">
                  <c:v>3.6363636363636362</c:v>
                </c:pt>
                <c:pt idx="1">
                  <c:v>3.4545454545454546</c:v>
                </c:pt>
                <c:pt idx="2">
                  <c:v>4.1818181818181817</c:v>
                </c:pt>
                <c:pt idx="3">
                  <c:v>3.8181818181818183</c:v>
                </c:pt>
                <c:pt idx="4">
                  <c:v>3.5454545454545454</c:v>
                </c:pt>
                <c:pt idx="5">
                  <c:v>4.5454545454545459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Culture!$B$70:$G$70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Culture!$B$71:$G$71</c:f>
              <c:numCache>
                <c:formatCode>0.0</c:formatCode>
                <c:ptCount val="6"/>
                <c:pt idx="0">
                  <c:v>3.7105263157894739</c:v>
                </c:pt>
                <c:pt idx="1">
                  <c:v>3.6578947368421053</c:v>
                </c:pt>
                <c:pt idx="2">
                  <c:v>4.3421052631578947</c:v>
                </c:pt>
                <c:pt idx="3">
                  <c:v>3.8157894736842106</c:v>
                </c:pt>
                <c:pt idx="4">
                  <c:v>3.6578947368421053</c:v>
                </c:pt>
                <c:pt idx="5">
                  <c:v>4.3157894736842106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D148-BA00-C611C6B6E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Culture!$J$68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Culture!$K$67:$P$67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Culture!$K$68:$P$68</c:f>
              <c:numCache>
                <c:formatCode>0%</c:formatCode>
                <c:ptCount val="6"/>
                <c:pt idx="0">
                  <c:v>5.2631578947368418E-2</c:v>
                </c:pt>
                <c:pt idx="1">
                  <c:v>8.771929824561403E-2</c:v>
                </c:pt>
                <c:pt idx="2">
                  <c:v>0</c:v>
                </c:pt>
                <c:pt idx="3">
                  <c:v>0</c:v>
                </c:pt>
                <c:pt idx="4">
                  <c:v>7.0175438596491224E-2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Culture!$J$69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Culture!$K$67:$P$67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Culture!$K$69:$P$69</c:f>
              <c:numCache>
                <c:formatCode>0%</c:formatCode>
                <c:ptCount val="6"/>
                <c:pt idx="0">
                  <c:v>0.31578947368421051</c:v>
                </c:pt>
                <c:pt idx="1">
                  <c:v>0.35087719298245612</c:v>
                </c:pt>
                <c:pt idx="2">
                  <c:v>8.771929824561403E-2</c:v>
                </c:pt>
                <c:pt idx="3">
                  <c:v>0.36842105263157893</c:v>
                </c:pt>
                <c:pt idx="4">
                  <c:v>0.31578947368421051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Culture!$J$70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Culture!$K$67:$P$67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Culture!$K$70:$P$70</c:f>
              <c:numCache>
                <c:formatCode>0%</c:formatCode>
                <c:ptCount val="6"/>
                <c:pt idx="0">
                  <c:v>0.63157894736842102</c:v>
                </c:pt>
                <c:pt idx="1">
                  <c:v>0.56140350877192979</c:v>
                </c:pt>
                <c:pt idx="2">
                  <c:v>0.91228070175438591</c:v>
                </c:pt>
                <c:pt idx="3">
                  <c:v>0.63157894736842102</c:v>
                </c:pt>
                <c:pt idx="4">
                  <c:v>0.61403508771929827</c:v>
                </c:pt>
                <c:pt idx="5">
                  <c:v>0.92982456140350878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Culture!$Y$67</c:f>
              <c:strCache>
                <c:ptCount val="1"/>
                <c:pt idx="0">
                  <c:v>Overall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Culture!$Z$63:$AE$63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Culture!$Z$67:$AE$67</c:f>
              <c:numCache>
                <c:formatCode>0%</c:formatCode>
                <c:ptCount val="6"/>
                <c:pt idx="0">
                  <c:v>0.61403508771929827</c:v>
                </c:pt>
                <c:pt idx="1">
                  <c:v>0.54385964912280704</c:v>
                </c:pt>
                <c:pt idx="2">
                  <c:v>0.89473684210526316</c:v>
                </c:pt>
                <c:pt idx="3">
                  <c:v>0.61403508771929827</c:v>
                </c:pt>
                <c:pt idx="4">
                  <c:v>0.59649122807017541</c:v>
                </c:pt>
                <c:pt idx="5">
                  <c:v>0.91228070175438591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Culture!$J$77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Culture!$K$76:$P$76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Culture!$K$77:$P$77</c:f>
              <c:numCache>
                <c:formatCode>0%</c:formatCode>
                <c:ptCount val="6"/>
                <c:pt idx="0">
                  <c:v>0</c:v>
                </c:pt>
                <c:pt idx="1">
                  <c:v>0.125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Culture!$J$78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Culture!$K$76:$P$76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Culture!$K$78:$P$78</c:f>
              <c:numCache>
                <c:formatCode>0%</c:formatCode>
                <c:ptCount val="6"/>
                <c:pt idx="0">
                  <c:v>0.125</c:v>
                </c:pt>
                <c:pt idx="1">
                  <c:v>0.375</c:v>
                </c:pt>
                <c:pt idx="2">
                  <c:v>0</c:v>
                </c:pt>
                <c:pt idx="3">
                  <c:v>0.25</c:v>
                </c:pt>
                <c:pt idx="4">
                  <c:v>0.375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Culture!$J$79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Culture!$K$76:$P$76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Culture!$K$79:$P$79</c:f>
              <c:numCache>
                <c:formatCode>0%</c:formatCode>
                <c:ptCount val="6"/>
                <c:pt idx="0">
                  <c:v>0.875</c:v>
                </c:pt>
                <c:pt idx="1">
                  <c:v>0.5</c:v>
                </c:pt>
                <c:pt idx="2">
                  <c:v>1</c:v>
                </c:pt>
                <c:pt idx="3">
                  <c:v>0.75</c:v>
                </c:pt>
                <c:pt idx="4">
                  <c:v>0.625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Culture!$J$86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Culture!$K$85:$P$85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Culture!$K$86:$P$86</c:f>
              <c:numCache>
                <c:formatCode>0%</c:formatCode>
                <c:ptCount val="6"/>
                <c:pt idx="0">
                  <c:v>0</c:v>
                </c:pt>
                <c:pt idx="1">
                  <c:v>0.18181818181818182</c:v>
                </c:pt>
                <c:pt idx="2">
                  <c:v>0</c:v>
                </c:pt>
                <c:pt idx="3">
                  <c:v>0</c:v>
                </c:pt>
                <c:pt idx="4">
                  <c:v>9.0909090909090912E-2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Culture!$J$87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Culture!$K$85:$P$85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Culture!$K$87:$P$87</c:f>
              <c:numCache>
                <c:formatCode>0%</c:formatCode>
                <c:ptCount val="6"/>
                <c:pt idx="0">
                  <c:v>0.36363636363636365</c:v>
                </c:pt>
                <c:pt idx="1">
                  <c:v>0.27272727272727271</c:v>
                </c:pt>
                <c:pt idx="2">
                  <c:v>9.0909090909090912E-2</c:v>
                </c:pt>
                <c:pt idx="3">
                  <c:v>0.27272727272727271</c:v>
                </c:pt>
                <c:pt idx="4">
                  <c:v>0.36363636363636365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Culture!$J$88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Culture!$K$85:$P$85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Culture!$K$88:$P$88</c:f>
              <c:numCache>
                <c:formatCode>0%</c:formatCode>
                <c:ptCount val="6"/>
                <c:pt idx="0">
                  <c:v>0.63636363636363635</c:v>
                </c:pt>
                <c:pt idx="1">
                  <c:v>0.54545454545454541</c:v>
                </c:pt>
                <c:pt idx="2">
                  <c:v>0.90909090909090906</c:v>
                </c:pt>
                <c:pt idx="3">
                  <c:v>0.72727272727272729</c:v>
                </c:pt>
                <c:pt idx="4">
                  <c:v>0.54545454545454541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Culture!$J$95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Culture!$K$94:$P$94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Culture!$K$95:$P$95</c:f>
              <c:numCache>
                <c:formatCode>0%</c:formatCode>
                <c:ptCount val="6"/>
                <c:pt idx="0">
                  <c:v>7.8947368421052627E-2</c:v>
                </c:pt>
                <c:pt idx="1">
                  <c:v>5.2631578947368418E-2</c:v>
                </c:pt>
                <c:pt idx="2">
                  <c:v>0</c:v>
                </c:pt>
                <c:pt idx="3">
                  <c:v>0</c:v>
                </c:pt>
                <c:pt idx="4">
                  <c:v>7.8947368421052627E-2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Culture!$J$96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Culture!$K$94:$P$94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Culture!$K$96:$P$96</c:f>
              <c:numCache>
                <c:formatCode>0%</c:formatCode>
                <c:ptCount val="6"/>
                <c:pt idx="0">
                  <c:v>0.34210526315789475</c:v>
                </c:pt>
                <c:pt idx="1">
                  <c:v>0.36842105263157893</c:v>
                </c:pt>
                <c:pt idx="2">
                  <c:v>0.10526315789473684</c:v>
                </c:pt>
                <c:pt idx="3">
                  <c:v>0.42105263157894735</c:v>
                </c:pt>
                <c:pt idx="4">
                  <c:v>0.28947368421052633</c:v>
                </c:pt>
                <c:pt idx="5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Culture!$J$97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Culture!$K$94:$P$94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Culture!$K$97:$P$97</c:f>
              <c:numCache>
                <c:formatCode>0%</c:formatCode>
                <c:ptCount val="6"/>
                <c:pt idx="0">
                  <c:v>0.57894736842105265</c:v>
                </c:pt>
                <c:pt idx="1">
                  <c:v>0.57894736842105265</c:v>
                </c:pt>
                <c:pt idx="2">
                  <c:v>0.89473684210526316</c:v>
                </c:pt>
                <c:pt idx="3">
                  <c:v>0.57894736842105265</c:v>
                </c:pt>
                <c:pt idx="4">
                  <c:v>0.63157894736842102</c:v>
                </c:pt>
                <c:pt idx="5">
                  <c:v>0.89473684210526316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Culture!$Y$74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Culture!$Z$70:$AE$70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Culture!$Z$74:$AE$74</c:f>
              <c:numCache>
                <c:formatCode>0%</c:formatCode>
                <c:ptCount val="6"/>
                <c:pt idx="0">
                  <c:v>0.875</c:v>
                </c:pt>
                <c:pt idx="1">
                  <c:v>0.5</c:v>
                </c:pt>
                <c:pt idx="2">
                  <c:v>0.875</c:v>
                </c:pt>
                <c:pt idx="3">
                  <c:v>0.75</c:v>
                </c:pt>
                <c:pt idx="4">
                  <c:v>0.625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Culture!$Y$81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Culture!$Z$77:$AE$77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Culture!$Z$81:$AE$81</c:f>
              <c:numCache>
                <c:formatCode>0%</c:formatCode>
                <c:ptCount val="6"/>
                <c:pt idx="0">
                  <c:v>0.63636363636363635</c:v>
                </c:pt>
                <c:pt idx="1">
                  <c:v>0.54545454545454541</c:v>
                </c:pt>
                <c:pt idx="2">
                  <c:v>0.90909090909090906</c:v>
                </c:pt>
                <c:pt idx="3">
                  <c:v>0.72727272727272729</c:v>
                </c:pt>
                <c:pt idx="4">
                  <c:v>0.54545454545454541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Culture!$Y$88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Culture!$Z$84:$AE$84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Culture!$Z$88:$AE$88</c:f>
              <c:numCache>
                <c:formatCode>0%</c:formatCode>
                <c:ptCount val="6"/>
                <c:pt idx="0">
                  <c:v>0.57894736842105265</c:v>
                </c:pt>
                <c:pt idx="1">
                  <c:v>0.55263157894736847</c:v>
                </c:pt>
                <c:pt idx="2">
                  <c:v>0.86842105263157898</c:v>
                </c:pt>
                <c:pt idx="3">
                  <c:v>0.57894736842105265</c:v>
                </c:pt>
                <c:pt idx="4">
                  <c:v>0.63157894736842102</c:v>
                </c:pt>
                <c:pt idx="5">
                  <c:v>0.86842105263157898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It is safe to speak our minds even when our views could be controversial.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Culture!$I$110:$J$110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Culture!$K$109:$M$109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Culture!$K$110:$M$110</c:f>
              <c:numCache>
                <c:formatCode>0%</c:formatCode>
                <c:ptCount val="3"/>
                <c:pt idx="0">
                  <c:v>0</c:v>
                </c:pt>
                <c:pt idx="1">
                  <c:v>0.125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Culture!$I$111:$J$111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Culture!$K$109:$M$109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Culture!$K$111:$M$111</c:f>
              <c:numCache>
                <c:formatCode>0%</c:formatCode>
                <c:ptCount val="3"/>
                <c:pt idx="0">
                  <c:v>0</c:v>
                </c:pt>
                <c:pt idx="1">
                  <c:v>0.36363636363636365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Culture!$I$112:$J$112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Culture!$K$109:$M$109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Culture!$K$112:$M$112</c:f>
              <c:numCache>
                <c:formatCode>0%</c:formatCode>
                <c:ptCount val="3"/>
                <c:pt idx="0">
                  <c:v>7.8947368421052627E-2</c:v>
                </c:pt>
                <c:pt idx="1">
                  <c:v>0.34210526315789475</c:v>
                </c:pt>
                <c:pt idx="2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work collaboratively across silos.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Culture!$I$114:$J$114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Culture!$K$113:$M$113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Culture!$K$114:$M$114</c:f>
              <c:numCache>
                <c:formatCode>0%</c:formatCode>
                <c:ptCount val="3"/>
                <c:pt idx="0">
                  <c:v>0.125</c:v>
                </c:pt>
                <c:pt idx="1">
                  <c:v>0.375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Culture!$I$115:$J$115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Culture!$K$113:$M$113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Culture!$K$115:$M$115</c:f>
              <c:numCache>
                <c:formatCode>0%</c:formatCode>
                <c:ptCount val="3"/>
                <c:pt idx="0">
                  <c:v>0.18181818181818182</c:v>
                </c:pt>
                <c:pt idx="1">
                  <c:v>0.27272727272727271</c:v>
                </c:pt>
                <c:pt idx="2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Culture!$I$116:$J$116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Culture!$K$113:$M$113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Culture!$K$116:$M$116</c:f>
              <c:numCache>
                <c:formatCode>0%</c:formatCode>
                <c:ptCount val="3"/>
                <c:pt idx="0">
                  <c:v>5.2631578947368418E-2</c:v>
                </c:pt>
                <c:pt idx="1">
                  <c:v>0.36842105263157893</c:v>
                </c:pt>
                <c:pt idx="2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I feel respected in this organization.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Culture!$I$118:$J$118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Culture!$K$117:$M$117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Culture!$K$118:$M$118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Culture!$I$119:$J$119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Culture!$K$117:$M$117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Culture!$K$119:$M$119</c:f>
              <c:numCache>
                <c:formatCode>0%</c:formatCode>
                <c:ptCount val="3"/>
                <c:pt idx="0">
                  <c:v>0</c:v>
                </c:pt>
                <c:pt idx="1">
                  <c:v>9.0909090909090912E-2</c:v>
                </c:pt>
                <c:pt idx="2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Culture!$I$120:$J$120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Culture!$K$117:$M$117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Culture!$K$120:$M$120</c:f>
              <c:numCache>
                <c:formatCode>0%</c:formatCode>
                <c:ptCount val="3"/>
                <c:pt idx="0">
                  <c:v>0</c:v>
                </c:pt>
                <c:pt idx="1">
                  <c:v>0.10526315789473684</c:v>
                </c:pt>
                <c:pt idx="2">
                  <c:v>0.89473684210526316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are committed to each other's success.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Culture!$I$122:$J$122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Culture!$K$121:$M$121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Culture!$K$122:$M$122</c:f>
              <c:numCache>
                <c:formatCode>0%</c:formatCode>
                <c:ptCount val="3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Culture!$I$123:$J$123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Culture!$K$121:$M$121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Culture!$K$123:$M$123</c:f>
              <c:numCache>
                <c:formatCode>0%</c:formatCode>
                <c:ptCount val="3"/>
                <c:pt idx="0">
                  <c:v>0</c:v>
                </c:pt>
                <c:pt idx="1">
                  <c:v>0.27272727272727271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Culture!$I$124:$J$124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Culture!$K$121:$M$121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Culture!$K$124:$M$124</c:f>
              <c:numCache>
                <c:formatCode>0%</c:formatCode>
                <c:ptCount val="3"/>
                <c:pt idx="0">
                  <c:v>0</c:v>
                </c:pt>
                <c:pt idx="1">
                  <c:v>0.42105263157894735</c:v>
                </c:pt>
                <c:pt idx="2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give each other the benefit of the doubt.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Culture!$I$126:$J$126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Culture!$K$125:$M$125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Culture!$K$126:$M$126</c:f>
              <c:numCache>
                <c:formatCode>0%</c:formatCode>
                <c:ptCount val="3"/>
                <c:pt idx="0">
                  <c:v>0</c:v>
                </c:pt>
                <c:pt idx="1">
                  <c:v>0.375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Culture!$I$127:$J$127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Culture!$K$125:$M$125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Culture!$K$127:$M$127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0.36363636363636365</c:v>
                </c:pt>
                <c:pt idx="2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Culture!$I$128:$J$128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Culture!$K$125:$M$125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Culture!$K$128:$M$128</c:f>
              <c:numCache>
                <c:formatCode>0%</c:formatCode>
                <c:ptCount val="3"/>
                <c:pt idx="0">
                  <c:v>7.8947368421052627E-2</c:v>
                </c:pt>
                <c:pt idx="1">
                  <c:v>0.28947368421052633</c:v>
                </c:pt>
                <c:pt idx="2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have a can-do attitude.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Culture!$I$130:$J$130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Culture!$K$129:$M$129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Culture!$K$130:$M$130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Culture!$I$131:$J$131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Culture!$K$129:$M$129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Culture!$K$131:$M$131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Culture!$I$132:$J$132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Culture!$K$129:$M$129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Culture!$K$132:$M$132</c:f>
              <c:numCache>
                <c:formatCode>0%</c:formatCode>
                <c:ptCount val="3"/>
                <c:pt idx="0">
                  <c:v>0</c:v>
                </c:pt>
                <c:pt idx="1">
                  <c:v>0.10526315789473684</c:v>
                </c:pt>
                <c:pt idx="2">
                  <c:v>0.89473684210526316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Inspiration!$B$64:$G$64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Inspiration!$B$65:$G$65</c:f>
              <c:numCache>
                <c:formatCode>0.0</c:formatCode>
                <c:ptCount val="6"/>
                <c:pt idx="0">
                  <c:v>4.625</c:v>
                </c:pt>
                <c:pt idx="1">
                  <c:v>4.125</c:v>
                </c:pt>
                <c:pt idx="2">
                  <c:v>4</c:v>
                </c:pt>
                <c:pt idx="3">
                  <c:v>3.625</c:v>
                </c:pt>
                <c:pt idx="4">
                  <c:v>4.375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Inspiration!$B$67:$G$67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Inspiration!$B$68:$G$68</c:f>
              <c:numCache>
                <c:formatCode>0.0</c:formatCode>
                <c:ptCount val="6"/>
                <c:pt idx="0">
                  <c:v>4.6363636363636367</c:v>
                </c:pt>
                <c:pt idx="1">
                  <c:v>3.7272727272727271</c:v>
                </c:pt>
                <c:pt idx="2">
                  <c:v>3.8181818181818183</c:v>
                </c:pt>
                <c:pt idx="3">
                  <c:v>3.7272727272727271</c:v>
                </c:pt>
                <c:pt idx="4">
                  <c:v>3.9090909090909092</c:v>
                </c:pt>
                <c:pt idx="5">
                  <c:v>3.8181818181818183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Inspiration!$B$70:$G$70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Inspiration!$B$71:$G$71</c:f>
              <c:numCache>
                <c:formatCode>0.0</c:formatCode>
                <c:ptCount val="6"/>
                <c:pt idx="0">
                  <c:v>4.3421052631578947</c:v>
                </c:pt>
                <c:pt idx="1">
                  <c:v>4.1315789473684212</c:v>
                </c:pt>
                <c:pt idx="2">
                  <c:v>4.0526315789473681</c:v>
                </c:pt>
                <c:pt idx="3">
                  <c:v>3.6842105263157894</c:v>
                </c:pt>
                <c:pt idx="4">
                  <c:v>4.3157894736842106</c:v>
                </c:pt>
                <c:pt idx="5">
                  <c:v>3.9736842105263159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Inspiration!$B$3:$G$3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Inspiration!$B$61:$G$61</c:f>
              <c:numCache>
                <c:formatCode>0.0</c:formatCode>
                <c:ptCount val="6"/>
                <c:pt idx="0">
                  <c:v>4.4385964912280702</c:v>
                </c:pt>
                <c:pt idx="1">
                  <c:v>4.0526315789473681</c:v>
                </c:pt>
                <c:pt idx="2">
                  <c:v>4</c:v>
                </c:pt>
                <c:pt idx="3">
                  <c:v>3.6842105263157894</c:v>
                </c:pt>
                <c:pt idx="4">
                  <c:v>4.2456140350877192</c:v>
                </c:pt>
                <c:pt idx="5">
                  <c:v>3.9473684210526314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7-5942-AC12-7E63B31B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Inspiration!$K$68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Inspiration!$L$67:$Q$67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Inspiration!$L$68:$Q$68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1.7543859649122806E-2</c:v>
                </c:pt>
                <c:pt idx="3">
                  <c:v>5.2631578947368418E-2</c:v>
                </c:pt>
                <c:pt idx="4">
                  <c:v>0</c:v>
                </c:pt>
                <c:pt idx="5">
                  <c:v>1.7543859649122806E-2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Inspiration!$K$69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Inspiration!$L$67:$Q$67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Inspiration!$L$69:$Q$69</c:f>
              <c:numCache>
                <c:formatCode>0%</c:formatCode>
                <c:ptCount val="6"/>
                <c:pt idx="0">
                  <c:v>3.5087719298245612E-2</c:v>
                </c:pt>
                <c:pt idx="1">
                  <c:v>0.24561403508771928</c:v>
                </c:pt>
                <c:pt idx="2">
                  <c:v>0.19298245614035087</c:v>
                </c:pt>
                <c:pt idx="3">
                  <c:v>0.38596491228070173</c:v>
                </c:pt>
                <c:pt idx="4">
                  <c:v>0.17543859649122806</c:v>
                </c:pt>
                <c:pt idx="5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Inspiration!$K$70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Inspiration!$L$67:$Q$67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Inspiration!$L$70:$Q$70</c:f>
              <c:numCache>
                <c:formatCode>0%</c:formatCode>
                <c:ptCount val="6"/>
                <c:pt idx="0">
                  <c:v>0.96491228070175439</c:v>
                </c:pt>
                <c:pt idx="1">
                  <c:v>0.75438596491228072</c:v>
                </c:pt>
                <c:pt idx="2">
                  <c:v>0.78947368421052633</c:v>
                </c:pt>
                <c:pt idx="3">
                  <c:v>0.56140350877192979</c:v>
                </c:pt>
                <c:pt idx="4">
                  <c:v>0.82456140350877194</c:v>
                </c:pt>
                <c:pt idx="5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Inspiration!$AA$67</c:f>
              <c:strCache>
                <c:ptCount val="1"/>
                <c:pt idx="0">
                  <c:v>Overall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Inspiration!$AB$63:$AG$63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Inspiration!$AB$67:$AG$67</c:f>
              <c:numCache>
                <c:formatCode>0%</c:formatCode>
                <c:ptCount val="6"/>
                <c:pt idx="0">
                  <c:v>0.94736842105263153</c:v>
                </c:pt>
                <c:pt idx="1">
                  <c:v>0.73684210526315785</c:v>
                </c:pt>
                <c:pt idx="2">
                  <c:v>0.77192982456140347</c:v>
                </c:pt>
                <c:pt idx="3">
                  <c:v>0.56140350877192979</c:v>
                </c:pt>
                <c:pt idx="4">
                  <c:v>0.80701754385964908</c:v>
                </c:pt>
                <c:pt idx="5">
                  <c:v>0.68421052631578949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Inspiration!$K$77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Inspiration!$L$76:$Q$76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Inspiration!$L$77:$Q$77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Inspiration!$K$78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Inspiration!$L$76:$Q$76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Inspiration!$L$78:$Q$78</c:f>
              <c:numCache>
                <c:formatCode>0%</c:formatCode>
                <c:ptCount val="6"/>
                <c:pt idx="0">
                  <c:v>0</c:v>
                </c:pt>
                <c:pt idx="1">
                  <c:v>0.125</c:v>
                </c:pt>
                <c:pt idx="2">
                  <c:v>0.125</c:v>
                </c:pt>
                <c:pt idx="3">
                  <c:v>0.375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Inspiration!$K$79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Inspiration!$L$76:$Q$76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Inspiration!$L$79:$Q$79</c:f>
              <c:numCache>
                <c:formatCode>0%</c:formatCode>
                <c:ptCount val="6"/>
                <c:pt idx="0">
                  <c:v>1</c:v>
                </c:pt>
                <c:pt idx="1">
                  <c:v>0.875</c:v>
                </c:pt>
                <c:pt idx="2">
                  <c:v>0.875</c:v>
                </c:pt>
                <c:pt idx="3">
                  <c:v>0.5</c:v>
                </c:pt>
                <c:pt idx="4">
                  <c:v>0.875</c:v>
                </c:pt>
                <c:pt idx="5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Inspiration!$K$86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Inspiration!$L$85:$Q$85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Inspiration!$L$86:$Q$86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Inspiration!$K$87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Inspiration!$L$85:$Q$85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Inspiration!$L$87:$Q$87</c:f>
              <c:numCache>
                <c:formatCode>0%</c:formatCode>
                <c:ptCount val="6"/>
                <c:pt idx="0">
                  <c:v>0</c:v>
                </c:pt>
                <c:pt idx="1">
                  <c:v>0.45454545454545453</c:v>
                </c:pt>
                <c:pt idx="2">
                  <c:v>0.18181818181818182</c:v>
                </c:pt>
                <c:pt idx="3">
                  <c:v>0.36363636363636365</c:v>
                </c:pt>
                <c:pt idx="4">
                  <c:v>0.18181818181818182</c:v>
                </c:pt>
                <c:pt idx="5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Inspiration!$K$88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Inspiration!$L$85:$Q$85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Inspiration!$L$88:$Q$88</c:f>
              <c:numCache>
                <c:formatCode>0%</c:formatCode>
                <c:ptCount val="6"/>
                <c:pt idx="0">
                  <c:v>1</c:v>
                </c:pt>
                <c:pt idx="1">
                  <c:v>0.54545454545454541</c:v>
                </c:pt>
                <c:pt idx="2">
                  <c:v>0.72727272727272729</c:v>
                </c:pt>
                <c:pt idx="3">
                  <c:v>0.63636363636363635</c:v>
                </c:pt>
                <c:pt idx="4">
                  <c:v>0.81818181818181823</c:v>
                </c:pt>
                <c:pt idx="5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Inspiration!$K$95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Inspiration!$L$94:$Q$94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Inspiration!$L$95:$Q$95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0</c:v>
                </c:pt>
                <c:pt idx="5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Inspiration!$K$96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Inspiration!$L$94:$Q$94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Inspiration!$L$96:$Q$96</c:f>
              <c:numCache>
                <c:formatCode>0%</c:formatCode>
                <c:ptCount val="6"/>
                <c:pt idx="0">
                  <c:v>5.2631578947368418E-2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0.39473684210526316</c:v>
                </c:pt>
                <c:pt idx="4">
                  <c:v>0.18421052631578946</c:v>
                </c:pt>
                <c:pt idx="5">
                  <c:v>0.34210526315789475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Inspiration!$K$97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Inspiration!$L$94:$Q$94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Inspiration!$L$97:$Q$97</c:f>
              <c:numCache>
                <c:formatCode>0%</c:formatCode>
                <c:ptCount val="6"/>
                <c:pt idx="0">
                  <c:v>0.94736842105263153</c:v>
                </c:pt>
                <c:pt idx="1">
                  <c:v>0.78947368421052633</c:v>
                </c:pt>
                <c:pt idx="2">
                  <c:v>0.78947368421052633</c:v>
                </c:pt>
                <c:pt idx="3">
                  <c:v>0.55263157894736847</c:v>
                </c:pt>
                <c:pt idx="4">
                  <c:v>0.81578947368421051</c:v>
                </c:pt>
                <c:pt idx="5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Inspiration!$AA$88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Inspiration!$AB$84:$AG$84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Inspiration!$AB$88:$AG$88</c:f>
              <c:numCache>
                <c:formatCode>0%</c:formatCode>
                <c:ptCount val="6"/>
                <c:pt idx="0">
                  <c:v>0.97368421052631582</c:v>
                </c:pt>
                <c:pt idx="1">
                  <c:v>0.76315789473684215</c:v>
                </c:pt>
                <c:pt idx="2">
                  <c:v>0.78947368421052633</c:v>
                </c:pt>
                <c:pt idx="3">
                  <c:v>0.55263157894736847</c:v>
                </c:pt>
                <c:pt idx="4">
                  <c:v>0.84210526315789469</c:v>
                </c:pt>
                <c:pt idx="5">
                  <c:v>0.63157894736842102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Inspiration!$AA$81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Inspiration!$AB$77:$AG$77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Inspiration!$AB$81:$AG$81</c:f>
              <c:numCache>
                <c:formatCode>0%</c:formatCode>
                <c:ptCount val="6"/>
                <c:pt idx="0">
                  <c:v>1</c:v>
                </c:pt>
                <c:pt idx="1">
                  <c:v>0.63636363636363635</c:v>
                </c:pt>
                <c:pt idx="2">
                  <c:v>0.72727272727272729</c:v>
                </c:pt>
                <c:pt idx="3">
                  <c:v>0.63636363636363635</c:v>
                </c:pt>
                <c:pt idx="4">
                  <c:v>0.90909090909090906</c:v>
                </c:pt>
                <c:pt idx="5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Inspiration!$AA$74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Inspiration!$AB$70:$AG$70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Inspiration!$AB$74:$AG$74</c:f>
              <c:numCache>
                <c:formatCode>0%</c:formatCode>
                <c:ptCount val="6"/>
                <c:pt idx="0">
                  <c:v>0.875</c:v>
                </c:pt>
                <c:pt idx="1">
                  <c:v>0.75</c:v>
                </c:pt>
                <c:pt idx="2">
                  <c:v>0.875</c:v>
                </c:pt>
                <c:pt idx="3">
                  <c:v>0.5</c:v>
                </c:pt>
                <c:pt idx="4">
                  <c:v>0.625</c:v>
                </c:pt>
                <c:pt idx="5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I am optimistic about our organization's future.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Inspiration!$J$113:$K$113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Inspiration!$L$112:$N$112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Inspiration!$L$113:$N$113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Inspiration!$J$114:$K$114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Inspiration!$L$112:$N$112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Inspiration!$L$114:$N$114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Inspiration!$J$115:$K$115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Inspiration!$L$112:$N$112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Inspiration!$L$115:$N$115</c:f>
              <c:numCache>
                <c:formatCode>0%</c:formatCode>
                <c:ptCount val="3"/>
                <c:pt idx="0">
                  <c:v>0</c:v>
                </c:pt>
                <c:pt idx="1">
                  <c:v>5.2631578947368418E-2</c:v>
                </c:pt>
                <c:pt idx="2">
                  <c:v>0.94736842105263153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refer to our Purpose when making decisions.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Inspiration!$J$117:$K$117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Inspiration!$L$116:$N$116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Inspiration!$L$117:$N$117</c:f>
              <c:numCache>
                <c:formatCode>0%</c:formatCode>
                <c:ptCount val="3"/>
                <c:pt idx="0">
                  <c:v>0</c:v>
                </c:pt>
                <c:pt idx="1">
                  <c:v>0.125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Inspiration!$J$118:$K$118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Inspiration!$L$116:$N$116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Inspiration!$L$118:$N$118</c:f>
              <c:numCache>
                <c:formatCode>0%</c:formatCode>
                <c:ptCount val="3"/>
                <c:pt idx="0">
                  <c:v>0</c:v>
                </c:pt>
                <c:pt idx="1">
                  <c:v>0.45454545454545453</c:v>
                </c:pt>
                <c:pt idx="2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Inspiration!$J$119:$K$119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Inspiration!$L$116:$N$116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Inspiration!$L$119:$N$119</c:f>
              <c:numCache>
                <c:formatCode>0%</c:formatCode>
                <c:ptCount val="3"/>
                <c:pt idx="0">
                  <c:v>0</c:v>
                </c:pt>
                <c:pt idx="1">
                  <c:v>0.21052631578947367</c:v>
                </c:pt>
                <c:pt idx="2">
                  <c:v>0.78947368421052633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Leaders give others the opportunity to shine.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Inspiration!$J$121:$K$121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Inspiration!$L$120:$N$120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Inspiration!$L$121:$N$121</c:f>
              <c:numCache>
                <c:formatCode>0%</c:formatCode>
                <c:ptCount val="3"/>
                <c:pt idx="0">
                  <c:v>0</c:v>
                </c:pt>
                <c:pt idx="1">
                  <c:v>0.125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Inspiration!$J$122:$K$122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Inspiration!$L$120:$N$120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Inspiration!$L$122:$N$122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0.18181818181818182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Inspiration!$J$123:$K$123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Inspiration!$L$120:$N$120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Inspiration!$L$123:$N$123</c:f>
              <c:numCache>
                <c:formatCode>0%</c:formatCode>
                <c:ptCount val="3"/>
                <c:pt idx="0">
                  <c:v>0</c:v>
                </c:pt>
                <c:pt idx="1">
                  <c:v>0.21052631578947367</c:v>
                </c:pt>
                <c:pt idx="2">
                  <c:v>0.78947368421052633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are invested in each other's success.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Inspiration!$J$125:$K$125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Inspiration!$L$124:$N$124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Inspiration!$L$125:$N$125</c:f>
              <c:numCache>
                <c:formatCode>0%</c:formatCode>
                <c:ptCount val="3"/>
                <c:pt idx="0">
                  <c:v>0.125</c:v>
                </c:pt>
                <c:pt idx="1">
                  <c:v>0.375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Inspiration!$J$126:$K$126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Inspiration!$L$124:$N$124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Inspiration!$L$126:$N$126</c:f>
              <c:numCache>
                <c:formatCode>0%</c:formatCode>
                <c:ptCount val="3"/>
                <c:pt idx="0">
                  <c:v>0</c:v>
                </c:pt>
                <c:pt idx="1">
                  <c:v>0.36363636363636365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Inspiration!$J$127:$K$127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Inspiration!$L$124:$N$124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Inspiration!$L$127:$N$127</c:f>
              <c:numCache>
                <c:formatCode>0%</c:formatCode>
                <c:ptCount val="3"/>
                <c:pt idx="0">
                  <c:v>5.2631578947368418E-2</c:v>
                </c:pt>
                <c:pt idx="1">
                  <c:v>0.39473684210526316</c:v>
                </c:pt>
                <c:pt idx="2">
                  <c:v>0.55263157894736847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Leaders behave ethically by doing the right thing.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Inspiration!$J$129:$K$129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Inspiration!$L$128:$N$128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Inspiration!$L$129:$N$129</c:f>
              <c:numCache>
                <c:formatCode>0%</c:formatCode>
                <c:ptCount val="3"/>
                <c:pt idx="0">
                  <c:v>0</c:v>
                </c:pt>
                <c:pt idx="1">
                  <c:v>0.125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Inspiration!$J$130:$K$130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Inspiration!$L$128:$N$128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Inspiration!$L$130:$N$130</c:f>
              <c:numCache>
                <c:formatCode>0%</c:formatCode>
                <c:ptCount val="3"/>
                <c:pt idx="0">
                  <c:v>0</c:v>
                </c:pt>
                <c:pt idx="1">
                  <c:v>0.18181818181818182</c:v>
                </c:pt>
                <c:pt idx="2">
                  <c:v>0.81818181818181823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Inspiration!$J$131:$K$131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Inspiration!$L$128:$N$128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Inspiration!$L$131:$N$131</c:f>
              <c:numCache>
                <c:formatCode>0%</c:formatCode>
                <c:ptCount val="3"/>
                <c:pt idx="0">
                  <c:v>0</c:v>
                </c:pt>
                <c:pt idx="1">
                  <c:v>0.18421052631578946</c:v>
                </c:pt>
                <c:pt idx="2">
                  <c:v>0.81578947368421051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Our decisions and behaviors reflect our values.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Inspiration!$J$133:$K$133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Inspiration!$L$132:$N$132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Inspiration!$L$133:$N$133</c:f>
              <c:numCache>
                <c:formatCode>0%</c:formatCode>
                <c:ptCount val="3"/>
                <c:pt idx="0">
                  <c:v>0</c:v>
                </c:pt>
                <c:pt idx="1">
                  <c:v>0.125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Inspiration!$J$134:$K$134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Inspiration!$L$132:$N$132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Inspiration!$L$134:$N$134</c:f>
              <c:numCache>
                <c:formatCode>0%</c:formatCode>
                <c:ptCount val="3"/>
                <c:pt idx="0">
                  <c:v>0</c:v>
                </c:pt>
                <c:pt idx="1">
                  <c:v>0.27272727272727271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Inspiration!$J$135:$K$135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Inspiration!$L$132:$N$132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Inspiration!$L$135:$N$135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0.34210526315789475</c:v>
                </c:pt>
                <c:pt idx="2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Performance!$B$64:$G$64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Performance!$B$65:$G$65</c:f>
              <c:numCache>
                <c:formatCode>0.0</c:formatCode>
                <c:ptCount val="6"/>
                <c:pt idx="0">
                  <c:v>4.5</c:v>
                </c:pt>
                <c:pt idx="1">
                  <c:v>4.125</c:v>
                </c:pt>
                <c:pt idx="2">
                  <c:v>3.875</c:v>
                </c:pt>
                <c:pt idx="3">
                  <c:v>4.5</c:v>
                </c:pt>
                <c:pt idx="4">
                  <c:v>3.375</c:v>
                </c:pt>
                <c:pt idx="5">
                  <c:v>3.875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Performance!$B$67:$G$67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Performance!$B$68:$G$68</c:f>
              <c:numCache>
                <c:formatCode>0.0</c:formatCode>
                <c:ptCount val="6"/>
                <c:pt idx="0">
                  <c:v>4.0909090909090908</c:v>
                </c:pt>
                <c:pt idx="1">
                  <c:v>4.4545454545454541</c:v>
                </c:pt>
                <c:pt idx="2">
                  <c:v>3.1818181818181817</c:v>
                </c:pt>
                <c:pt idx="3">
                  <c:v>4.7272727272727275</c:v>
                </c:pt>
                <c:pt idx="4">
                  <c:v>3.2727272727272729</c:v>
                </c:pt>
                <c:pt idx="5">
                  <c:v>4.1818181818181817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Performance!$B$70:$G$70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Performance!$B$71:$G$71</c:f>
              <c:numCache>
                <c:formatCode>0.0</c:formatCode>
                <c:ptCount val="6"/>
                <c:pt idx="0">
                  <c:v>4.2631578947368425</c:v>
                </c:pt>
                <c:pt idx="1">
                  <c:v>4.2368421052631575</c:v>
                </c:pt>
                <c:pt idx="2">
                  <c:v>3.6315789473684212</c:v>
                </c:pt>
                <c:pt idx="3">
                  <c:v>4.5526315789473681</c:v>
                </c:pt>
                <c:pt idx="4">
                  <c:v>3.4473684210526314</c:v>
                </c:pt>
                <c:pt idx="5">
                  <c:v>3.8947368421052633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Performance!$B$3:$G$3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Performance!$B$61:$G$61</c:f>
              <c:numCache>
                <c:formatCode>0.0</c:formatCode>
                <c:ptCount val="6"/>
                <c:pt idx="0">
                  <c:v>4.2631578947368425</c:v>
                </c:pt>
                <c:pt idx="1">
                  <c:v>4.2631578947368425</c:v>
                </c:pt>
                <c:pt idx="2">
                  <c:v>3.5789473684210527</c:v>
                </c:pt>
                <c:pt idx="3">
                  <c:v>4.5789473684210522</c:v>
                </c:pt>
                <c:pt idx="4">
                  <c:v>3.4035087719298245</c:v>
                </c:pt>
                <c:pt idx="5">
                  <c:v>3.9473684210526314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Performance!$K$69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Performance!$L$68:$Q$68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Performance!$L$69:$Q$69</c:f>
              <c:numCache>
                <c:formatCode>0%</c:formatCode>
                <c:ptCount val="6"/>
                <c:pt idx="0">
                  <c:v>1.7543859649122806E-2</c:v>
                </c:pt>
                <c:pt idx="1">
                  <c:v>0</c:v>
                </c:pt>
                <c:pt idx="2">
                  <c:v>5.2631578947368418E-2</c:v>
                </c:pt>
                <c:pt idx="3">
                  <c:v>0</c:v>
                </c:pt>
                <c:pt idx="4">
                  <c:v>0.12280701754385964</c:v>
                </c:pt>
                <c:pt idx="5">
                  <c:v>3.5087719298245612E-2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Performance!$K$70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Performance!$L$68:$Q$68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Performance!$L$70:$Q$70</c:f>
              <c:numCache>
                <c:formatCode>0%</c:formatCode>
                <c:ptCount val="6"/>
                <c:pt idx="0">
                  <c:v>8.771929824561403E-2</c:v>
                </c:pt>
                <c:pt idx="1">
                  <c:v>0.12280701754385964</c:v>
                </c:pt>
                <c:pt idx="2">
                  <c:v>0.45614035087719296</c:v>
                </c:pt>
                <c:pt idx="3">
                  <c:v>3.5087719298245612E-2</c:v>
                </c:pt>
                <c:pt idx="4">
                  <c:v>0.43859649122807015</c:v>
                </c:pt>
                <c:pt idx="5">
                  <c:v>0.24561403508771928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Performance!$K$71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Performance!$L$68:$Q$68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Performance!$L$71:$Q$71</c:f>
              <c:numCache>
                <c:formatCode>0%</c:formatCode>
                <c:ptCount val="6"/>
                <c:pt idx="0">
                  <c:v>0.89473684210526316</c:v>
                </c:pt>
                <c:pt idx="1">
                  <c:v>0.8771929824561403</c:v>
                </c:pt>
                <c:pt idx="2">
                  <c:v>0.49122807017543857</c:v>
                </c:pt>
                <c:pt idx="3">
                  <c:v>0.96491228070175439</c:v>
                </c:pt>
                <c:pt idx="4">
                  <c:v>0.43859649122807015</c:v>
                </c:pt>
                <c:pt idx="5">
                  <c:v>0.7192982456140351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Performance!$Y$67</c:f>
              <c:strCache>
                <c:ptCount val="1"/>
                <c:pt idx="0">
                  <c:v>Overall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Performance!$Z$63:$AE$63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Performance!$Z$67:$AE$67</c:f>
              <c:numCache>
                <c:formatCode>0%</c:formatCode>
                <c:ptCount val="6"/>
                <c:pt idx="0">
                  <c:v>0.8771929824561403</c:v>
                </c:pt>
                <c:pt idx="1">
                  <c:v>0.85964912280701755</c:v>
                </c:pt>
                <c:pt idx="2">
                  <c:v>0.47368421052631576</c:v>
                </c:pt>
                <c:pt idx="3">
                  <c:v>0.94736842105263153</c:v>
                </c:pt>
                <c:pt idx="4">
                  <c:v>0.42105263157894735</c:v>
                </c:pt>
                <c:pt idx="5">
                  <c:v>0.7192982456140351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Performance!$K$78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Performance!$L$77:$Q$77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Performance!$L$78:$Q$78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Performance!$K$79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Performance!$L$77:$Q$77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Performance!$L$79:$Q$79</c:f>
              <c:numCache>
                <c:formatCode>0%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0.375</c:v>
                </c:pt>
                <c:pt idx="3">
                  <c:v>0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Performance!$K$80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Performance!$L$77:$Q$77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Performance!$L$80:$Q$80</c:f>
              <c:numCache>
                <c:formatCode>0%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0.625</c:v>
                </c:pt>
                <c:pt idx="3">
                  <c:v>1</c:v>
                </c:pt>
                <c:pt idx="4">
                  <c:v>0.5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Performance!$K$87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Performance!$L$86:$Q$86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Performance!$L$87:$Q$87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9.0909090909090912E-2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Performance!$K$88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Performance!$L$86:$Q$86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Performance!$L$88:$Q$88</c:f>
              <c:numCache>
                <c:formatCode>0%</c:formatCode>
                <c:ptCount val="6"/>
                <c:pt idx="0">
                  <c:v>9.0909090909090912E-2</c:v>
                </c:pt>
                <c:pt idx="1">
                  <c:v>0</c:v>
                </c:pt>
                <c:pt idx="2">
                  <c:v>0.81818181818181823</c:v>
                </c:pt>
                <c:pt idx="3">
                  <c:v>0</c:v>
                </c:pt>
                <c:pt idx="4">
                  <c:v>0.54545454545454541</c:v>
                </c:pt>
                <c:pt idx="5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Performance!$K$89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Performance!$L$86:$Q$86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Performance!$L$89:$Q$89</c:f>
              <c:numCache>
                <c:formatCode>0%</c:formatCode>
                <c:ptCount val="6"/>
                <c:pt idx="0">
                  <c:v>0.90909090909090906</c:v>
                </c:pt>
                <c:pt idx="1">
                  <c:v>1</c:v>
                </c:pt>
                <c:pt idx="2">
                  <c:v>0.18181818181818182</c:v>
                </c:pt>
                <c:pt idx="3">
                  <c:v>1</c:v>
                </c:pt>
                <c:pt idx="4">
                  <c:v>0.36363636363636365</c:v>
                </c:pt>
                <c:pt idx="5">
                  <c:v>0.81818181818181823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Performance!$K$96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Performance!$L$95:$Q$95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Performance!$L$96:$Q$96</c:f>
              <c:numCache>
                <c:formatCode>0%</c:formatCode>
                <c:ptCount val="6"/>
                <c:pt idx="0">
                  <c:v>2.6315789473684209E-2</c:v>
                </c:pt>
                <c:pt idx="1">
                  <c:v>0</c:v>
                </c:pt>
                <c:pt idx="2">
                  <c:v>7.8947368421052627E-2</c:v>
                </c:pt>
                <c:pt idx="3">
                  <c:v>0</c:v>
                </c:pt>
                <c:pt idx="4">
                  <c:v>0.10526315789473684</c:v>
                </c:pt>
                <c:pt idx="5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Performance!$K$97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Performance!$L$95:$Q$95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Performance!$L$97:$Q$97</c:f>
              <c:numCache>
                <c:formatCode>0%</c:formatCode>
                <c:ptCount val="6"/>
                <c:pt idx="0">
                  <c:v>0.10526315789473684</c:v>
                </c:pt>
                <c:pt idx="1">
                  <c:v>0.13157894736842105</c:v>
                </c:pt>
                <c:pt idx="2">
                  <c:v>0.36842105263157893</c:v>
                </c:pt>
                <c:pt idx="3">
                  <c:v>5.2631578947368418E-2</c:v>
                </c:pt>
                <c:pt idx="4">
                  <c:v>0.44736842105263158</c:v>
                </c:pt>
                <c:pt idx="5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Performance!$K$98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Performance!$L$95:$Q$95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Performance!$L$98:$Q$98</c:f>
              <c:numCache>
                <c:formatCode>0%</c:formatCode>
                <c:ptCount val="6"/>
                <c:pt idx="0">
                  <c:v>0.86842105263157898</c:v>
                </c:pt>
                <c:pt idx="1">
                  <c:v>0.86842105263157898</c:v>
                </c:pt>
                <c:pt idx="2">
                  <c:v>0.55263157894736847</c:v>
                </c:pt>
                <c:pt idx="3">
                  <c:v>0.94736842105263153</c:v>
                </c:pt>
                <c:pt idx="4">
                  <c:v>0.44736842105263158</c:v>
                </c:pt>
                <c:pt idx="5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Performance!$Y$75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Performance!$Z$71:$AE$71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Performance!$Z$75:$AE$75</c:f>
              <c:numCache>
                <c:formatCode>0%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0.625</c:v>
                </c:pt>
                <c:pt idx="3">
                  <c:v>1</c:v>
                </c:pt>
                <c:pt idx="4">
                  <c:v>0.5</c:v>
                </c:pt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Performance!$Y$89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Performance!$Z$85:$AE$85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Performance!$Z$89:$AE$89</c:f>
              <c:numCache>
                <c:formatCode>0%</c:formatCode>
                <c:ptCount val="6"/>
                <c:pt idx="0">
                  <c:v>0.86842105263157898</c:v>
                </c:pt>
                <c:pt idx="1">
                  <c:v>0.86842105263157898</c:v>
                </c:pt>
                <c:pt idx="2">
                  <c:v>0.55263157894736847</c:v>
                </c:pt>
                <c:pt idx="3">
                  <c:v>0.94736842105263153</c:v>
                </c:pt>
                <c:pt idx="4">
                  <c:v>0.44736842105263158</c:v>
                </c:pt>
                <c:pt idx="5">
                  <c:v>0.68421052631578949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Performance!$Y$82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Performance!$Z$78:$AE$78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Performance!$Z$82:$AE$82</c:f>
              <c:numCache>
                <c:formatCode>0%</c:formatCode>
                <c:ptCount val="6"/>
                <c:pt idx="0">
                  <c:v>0.90909090909090906</c:v>
                </c:pt>
                <c:pt idx="1">
                  <c:v>1</c:v>
                </c:pt>
                <c:pt idx="2">
                  <c:v>0.18181818181818182</c:v>
                </c:pt>
                <c:pt idx="3">
                  <c:v>1</c:v>
                </c:pt>
                <c:pt idx="4">
                  <c:v>0.36363636363636365</c:v>
                </c:pt>
                <c:pt idx="5">
                  <c:v>0.81818181818181823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 I feel supported by our leaders.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Performance!$J$104:$K$104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Performance!$L$103:$N$103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Performance!$L$104:$N$104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Performance!$J$105:$K$105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Performance!$L$103:$N$103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Performance!$L$105:$N$105</c:f>
              <c:numCache>
                <c:formatCode>0%</c:formatCode>
                <c:ptCount val="3"/>
                <c:pt idx="0">
                  <c:v>0</c:v>
                </c:pt>
                <c:pt idx="1">
                  <c:v>9.0909090909090912E-2</c:v>
                </c:pt>
                <c:pt idx="2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Performance!$J$106:$K$106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Performance!$L$103:$N$103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Performance!$L$106:$N$106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0.10526315789473684</c:v>
                </c:pt>
                <c:pt idx="2">
                  <c:v>0.86842105263157898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are results driven.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Performance!$J$108:$K$108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Performance!$L$107:$N$107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Performance!$L$108:$N$108</c:f>
              <c:numCache>
                <c:formatCode>0%</c:formatCode>
                <c:ptCount val="3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Performance!$J$109:$K$109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Performance!$L$107:$N$107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Performance!$L$109:$N$109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Performance!$J$110:$K$110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Performance!$L$107:$N$107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Performance!$L$110:$N$110</c:f>
              <c:numCache>
                <c:formatCode>0%</c:formatCode>
                <c:ptCount val="3"/>
                <c:pt idx="0">
                  <c:v>0</c:v>
                </c:pt>
                <c:pt idx="1">
                  <c:v>0.13157894736842105</c:v>
                </c:pt>
                <c:pt idx="2">
                  <c:v>0.86842105263157898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willingly accept tough feedback.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Performance!$J$112:$K$112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Performance!$L$111:$N$111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Performance!$L$112:$N$112</c:f>
              <c:numCache>
                <c:formatCode>0%</c:formatCode>
                <c:ptCount val="3"/>
                <c:pt idx="0">
                  <c:v>0</c:v>
                </c:pt>
                <c:pt idx="1">
                  <c:v>0.375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Performance!$J$113:$K$113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Performance!$L$111:$N$111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Performance!$L$113:$N$113</c:f>
              <c:numCache>
                <c:formatCode>0%</c:formatCode>
                <c:ptCount val="3"/>
                <c:pt idx="0">
                  <c:v>0</c:v>
                </c:pt>
                <c:pt idx="1">
                  <c:v>0.81818181818181823</c:v>
                </c:pt>
                <c:pt idx="2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Performance!$J$114:$K$114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Performance!$L$111:$N$111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Performance!$L$114:$N$114</c:f>
              <c:numCache>
                <c:formatCode>0%</c:formatCode>
                <c:ptCount val="3"/>
                <c:pt idx="0">
                  <c:v>7.8947368421052627E-2</c:v>
                </c:pt>
                <c:pt idx="1">
                  <c:v>0.36842105263157893</c:v>
                </c:pt>
                <c:pt idx="2">
                  <c:v>0.55263157894736847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have high performance expectations in this company.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Performance!$J$116:$K$116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Performance!$L$115:$N$115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Performance!$L$116:$N$116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Performance!$J$117:$K$117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Performance!$L$115:$N$115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Performance!$L$117:$N$117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Performance!$J$118:$K$118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Performance!$L$115:$N$115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Performance!$L$118:$N$118</c:f>
              <c:numCache>
                <c:formatCode>0%</c:formatCode>
                <c:ptCount val="3"/>
                <c:pt idx="0">
                  <c:v>0</c:v>
                </c:pt>
                <c:pt idx="1">
                  <c:v>5.2631578947368418E-2</c:v>
                </c:pt>
                <c:pt idx="2">
                  <c:v>0.94736842105263153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effectively address poor performance.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Performance!$J$120:$K$120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Performance!$L$119:$N$119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Performance!$L$120:$N$120</c:f>
              <c:numCache>
                <c:formatCode>0%</c:formatCode>
                <c:ptCount val="3"/>
                <c:pt idx="0">
                  <c:v>0.25</c:v>
                </c:pt>
                <c:pt idx="1">
                  <c:v>0.25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Performance!$J$121:$K$121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Performance!$L$119:$N$119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Performance!$L$121:$N$121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0.54545454545454541</c:v>
                </c:pt>
                <c:pt idx="2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Performance!$J$122:$K$122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Performance!$L$119:$N$119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Performance!$L$122:$N$122</c:f>
              <c:numCache>
                <c:formatCode>0%</c:formatCode>
                <c:ptCount val="3"/>
                <c:pt idx="0">
                  <c:v>0.10526315789473684</c:v>
                </c:pt>
                <c:pt idx="1">
                  <c:v>0.44736842105263158</c:v>
                </c:pt>
                <c:pt idx="2">
                  <c:v>0.44736842105263158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recognize strong performance.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Performance!$J$124:$K$124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Performance!$L$123:$N$123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Performance!$L$124:$N$124</c:f>
              <c:numCache>
                <c:formatCode>0%</c:formatCode>
                <c:ptCount val="3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Performance!$J$125:$K$125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Performance!$L$123:$N$123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Performance!$L$125:$N$125</c:f>
              <c:numCache>
                <c:formatCode>0%</c:formatCode>
                <c:ptCount val="3"/>
                <c:pt idx="0">
                  <c:v>0</c:v>
                </c:pt>
                <c:pt idx="1">
                  <c:v>0.18181818181818182</c:v>
                </c:pt>
                <c:pt idx="2">
                  <c:v>0.81818181818181823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Performance!$J$126:$K$126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Performance!$L$123:$N$123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Performance!$L$126:$N$126</c:f>
              <c:numCache>
                <c:formatCode>0%</c:formatCode>
                <c:ptCount val="3"/>
                <c:pt idx="0">
                  <c:v>5.2631578947368418E-2</c:v>
                </c:pt>
                <c:pt idx="1">
                  <c:v>0.26315789473684209</c:v>
                </c:pt>
                <c:pt idx="2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Wellbeing!$B$64:$G$64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Wellbeing!$B$65:$G$65</c:f>
              <c:numCache>
                <c:formatCode>General</c:formatCode>
                <c:ptCount val="6"/>
                <c:pt idx="0">
                  <c:v>4.25</c:v>
                </c:pt>
                <c:pt idx="1">
                  <c:v>4.5</c:v>
                </c:pt>
                <c:pt idx="2">
                  <c:v>3.5</c:v>
                </c:pt>
                <c:pt idx="3">
                  <c:v>3.75</c:v>
                </c:pt>
                <c:pt idx="4">
                  <c:v>3.5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Wellbeing!$B$67:$G$67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Wellbeing!$B$68:$G$68</c:f>
              <c:numCache>
                <c:formatCode>0.0</c:formatCode>
                <c:ptCount val="6"/>
                <c:pt idx="0">
                  <c:v>3.6363636363636362</c:v>
                </c:pt>
                <c:pt idx="1">
                  <c:v>3.7272727272727271</c:v>
                </c:pt>
                <c:pt idx="2">
                  <c:v>3.3636363636363638</c:v>
                </c:pt>
                <c:pt idx="3">
                  <c:v>3.7272727272727271</c:v>
                </c:pt>
                <c:pt idx="4">
                  <c:v>3.7272727272727271</c:v>
                </c:pt>
                <c:pt idx="5">
                  <c:v>4.0909090909090908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Wellbeing!$B$70:$G$70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Wellbeing!$B$71:$G$71</c:f>
              <c:numCache>
                <c:formatCode>0.0</c:formatCode>
                <c:ptCount val="6"/>
                <c:pt idx="0">
                  <c:v>3.9736842105263159</c:v>
                </c:pt>
                <c:pt idx="1">
                  <c:v>4.0789473684210522</c:v>
                </c:pt>
                <c:pt idx="2">
                  <c:v>3.8421052631578947</c:v>
                </c:pt>
                <c:pt idx="3">
                  <c:v>3.8421052631578947</c:v>
                </c:pt>
                <c:pt idx="4">
                  <c:v>3.8684210526315788</c:v>
                </c:pt>
                <c:pt idx="5">
                  <c:v>4.0263157894736841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327B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Wellbeing!$B$3:$G$3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Wellbeing!$B$61:$G$61</c:f>
              <c:numCache>
                <c:formatCode>0.0</c:formatCode>
                <c:ptCount val="6"/>
                <c:pt idx="0">
                  <c:v>3.9473684210526314</c:v>
                </c:pt>
                <c:pt idx="1">
                  <c:v>4.0701754385964914</c:v>
                </c:pt>
                <c:pt idx="2">
                  <c:v>3.7017543859649122</c:v>
                </c:pt>
                <c:pt idx="3">
                  <c:v>3.807017543859649</c:v>
                </c:pt>
                <c:pt idx="4">
                  <c:v>3.7894736842105261</c:v>
                </c:pt>
                <c:pt idx="5">
                  <c:v>4.0350877192982457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2C4B-BCF6-9EABFFE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56262271"/>
        <c:axId val="405533535"/>
      </c:barChart>
      <c:catAx>
        <c:axId val="8562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405533535"/>
        <c:crosses val="autoZero"/>
        <c:auto val="1"/>
        <c:lblAlgn val="ctr"/>
        <c:lblOffset val="100"/>
        <c:noMultiLvlLbl val="0"/>
      </c:catAx>
      <c:valAx>
        <c:axId val="40553353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56262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Wellbeing!$K$69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Wellbeing!$L$68:$Q$68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Wellbeing!$L$69:$Q$69</c:f>
              <c:numCache>
                <c:formatCode>0%</c:formatCode>
                <c:ptCount val="6"/>
                <c:pt idx="0">
                  <c:v>5.2631578947368418E-2</c:v>
                </c:pt>
                <c:pt idx="1">
                  <c:v>3.5087719298245612E-2</c:v>
                </c:pt>
                <c:pt idx="2">
                  <c:v>7.0175438596491224E-2</c:v>
                </c:pt>
                <c:pt idx="3">
                  <c:v>1.7543859649122806E-2</c:v>
                </c:pt>
                <c:pt idx="4">
                  <c:v>1.7543859649122806E-2</c:v>
                </c:pt>
                <c:pt idx="5">
                  <c:v>1.7543859649122806E-2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Wellbeing!$K$70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Wellbeing!$L$68:$Q$68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Wellbeing!$L$70:$Q$70</c:f>
              <c:numCache>
                <c:formatCode>0%</c:formatCode>
                <c:ptCount val="6"/>
                <c:pt idx="0">
                  <c:v>0.15789473684210525</c:v>
                </c:pt>
                <c:pt idx="1">
                  <c:v>0.15789473684210525</c:v>
                </c:pt>
                <c:pt idx="2">
                  <c:v>0.31578947368421051</c:v>
                </c:pt>
                <c:pt idx="3">
                  <c:v>0.36842105263157893</c:v>
                </c:pt>
                <c:pt idx="4">
                  <c:v>0.2982456140350877</c:v>
                </c:pt>
                <c:pt idx="5">
                  <c:v>0.22807017543859648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Wellbeing!$K$71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Wellbeing!$L$68:$Q$68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Wellbeing!$L$71:$Q$71</c:f>
              <c:numCache>
                <c:formatCode>0%</c:formatCode>
                <c:ptCount val="6"/>
                <c:pt idx="0">
                  <c:v>0.78947368421052633</c:v>
                </c:pt>
                <c:pt idx="1">
                  <c:v>0.80701754385964908</c:v>
                </c:pt>
                <c:pt idx="2">
                  <c:v>0.61403508771929827</c:v>
                </c:pt>
                <c:pt idx="3">
                  <c:v>0.61403508771929827</c:v>
                </c:pt>
                <c:pt idx="4">
                  <c:v>0.68421052631578949</c:v>
                </c:pt>
                <c:pt idx="5">
                  <c:v>0.75438596491228072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Wellbeing!$Z$67</c:f>
              <c:strCache>
                <c:ptCount val="1"/>
                <c:pt idx="0">
                  <c:v>Overall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Wellbeing!$AA$63:$AF$63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Wellbeing!$AA$67:$AF$67</c:f>
              <c:numCache>
                <c:formatCode>0%</c:formatCode>
                <c:ptCount val="6"/>
                <c:pt idx="0">
                  <c:v>0.77192982456140347</c:v>
                </c:pt>
                <c:pt idx="1">
                  <c:v>0.78947368421052633</c:v>
                </c:pt>
                <c:pt idx="2">
                  <c:v>0.59649122807017541</c:v>
                </c:pt>
                <c:pt idx="3">
                  <c:v>0.59649122807017541</c:v>
                </c:pt>
                <c:pt idx="4">
                  <c:v>0.66666666666666663</c:v>
                </c:pt>
                <c:pt idx="5">
                  <c:v>0.73684210526315785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Wellbeing!$K$78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Wellbeing!$L$77:$Q$77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Wellbeing!$L$78:$Q$78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Wellbeing!$K$79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Wellbeing!$L$77:$Q$77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Wellbeing!$L$79:$Q$79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0.375</c:v>
                </c:pt>
                <c:pt idx="3">
                  <c:v>0.375</c:v>
                </c:pt>
                <c:pt idx="4">
                  <c:v>0.625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Wellbeing!$K$80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Wellbeing!$L$77:$Q$77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Wellbeing!$L$80:$Q$80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0.625</c:v>
                </c:pt>
                <c:pt idx="4">
                  <c:v>0.375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Wellbeing!$K$87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Wellbeing!$L$86:$Q$86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Wellbeing!$L$87:$Q$87</c:f>
              <c:numCache>
                <c:formatCode>0%</c:formatCode>
                <c:ptCount val="6"/>
                <c:pt idx="0">
                  <c:v>9.0909090909090912E-2</c:v>
                </c:pt>
                <c:pt idx="1">
                  <c:v>9.0909090909090912E-2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Wellbeing!$K$88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Wellbeing!$L$86:$Q$86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Wellbeing!$L$88:$Q$88</c:f>
              <c:numCache>
                <c:formatCode>0%</c:formatCode>
                <c:ptCount val="6"/>
                <c:pt idx="0">
                  <c:v>0.18181818181818182</c:v>
                </c:pt>
                <c:pt idx="1">
                  <c:v>0.27272727272727271</c:v>
                </c:pt>
                <c:pt idx="2">
                  <c:v>0.45454545454545453</c:v>
                </c:pt>
                <c:pt idx="3">
                  <c:v>0.27272727272727271</c:v>
                </c:pt>
                <c:pt idx="4">
                  <c:v>0.36363636363636365</c:v>
                </c:pt>
                <c:pt idx="5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Wellbeing!$K$89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Wellbeing!$L$86:$Q$86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Wellbeing!$L$89:$Q$89</c:f>
              <c:numCache>
                <c:formatCode>0%</c:formatCode>
                <c:ptCount val="6"/>
                <c:pt idx="0">
                  <c:v>0.72727272727272729</c:v>
                </c:pt>
                <c:pt idx="1">
                  <c:v>0.63636363636363635</c:v>
                </c:pt>
                <c:pt idx="2">
                  <c:v>0.45454545454545453</c:v>
                </c:pt>
                <c:pt idx="3">
                  <c:v>0.72727272727272729</c:v>
                </c:pt>
                <c:pt idx="4">
                  <c:v>0.63636363636363635</c:v>
                </c:pt>
                <c:pt idx="5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Wellbeing!$K$96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30327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Wellbeing!$L$95:$Q$95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Wellbeing!$L$96:$Q$96</c:f>
              <c:numCache>
                <c:formatCode>0%</c:formatCode>
                <c:ptCount val="6"/>
                <c:pt idx="0">
                  <c:v>5.2631578947368418E-2</c:v>
                </c:pt>
                <c:pt idx="1">
                  <c:v>2.6315789473684209E-2</c:v>
                </c:pt>
                <c:pt idx="2">
                  <c:v>5.2631578947368418E-2</c:v>
                </c:pt>
                <c:pt idx="3">
                  <c:v>2.6315789473684209E-2</c:v>
                </c:pt>
                <c:pt idx="4">
                  <c:v>2.6315789473684209E-2</c:v>
                </c:pt>
                <c:pt idx="5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2D4F-A07B-47289695A5B6}"/>
            </c:ext>
          </c:extLst>
        </c:ser>
        <c:ser>
          <c:idx val="1"/>
          <c:order val="1"/>
          <c:tx>
            <c:strRef>
              <c:f>Wellbeing!$K$97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82AAF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Wellbeing!$L$95:$Q$95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Wellbeing!$L$97:$Q$97</c:f>
              <c:numCache>
                <c:formatCode>0%</c:formatCode>
                <c:ptCount val="6"/>
                <c:pt idx="0">
                  <c:v>0.18421052631578946</c:v>
                </c:pt>
                <c:pt idx="1">
                  <c:v>0.15789473684210525</c:v>
                </c:pt>
                <c:pt idx="2">
                  <c:v>0.26315789473684209</c:v>
                </c:pt>
                <c:pt idx="3">
                  <c:v>0.39473684210526316</c:v>
                </c:pt>
                <c:pt idx="4">
                  <c:v>0.21052631578947367</c:v>
                </c:pt>
                <c:pt idx="5">
                  <c:v>0.21052631578947367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2D4F-A07B-47289695A5B6}"/>
            </c:ext>
          </c:extLst>
        </c:ser>
        <c:ser>
          <c:idx val="2"/>
          <c:order val="2"/>
          <c:tx>
            <c:strRef>
              <c:f>Wellbeing!$K$98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3B78E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Wellbeing!$L$95:$Q$95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Wellbeing!$L$98:$Q$98</c:f>
              <c:numCache>
                <c:formatCode>0%</c:formatCode>
                <c:ptCount val="6"/>
                <c:pt idx="0">
                  <c:v>0.76315789473684215</c:v>
                </c:pt>
                <c:pt idx="1">
                  <c:v>0.81578947368421051</c:v>
                </c:pt>
                <c:pt idx="2">
                  <c:v>0.68421052631578949</c:v>
                </c:pt>
                <c:pt idx="3">
                  <c:v>0.57894736842105265</c:v>
                </c:pt>
                <c:pt idx="4">
                  <c:v>0.76315789473684215</c:v>
                </c:pt>
                <c:pt idx="5">
                  <c:v>0.76315789473684215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2D4F-A07B-4728969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70959"/>
        <c:axId val="915176399"/>
      </c:barChart>
      <c:catAx>
        <c:axId val="8821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915176399"/>
        <c:crosses val="autoZero"/>
        <c:auto val="1"/>
        <c:lblAlgn val="ctr"/>
        <c:lblOffset val="100"/>
        <c:noMultiLvlLbl val="0"/>
      </c:catAx>
      <c:valAx>
        <c:axId val="915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8821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Wellbeing!$Z$88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Wellbeing!$AA$84:$AF$84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Wellbeing!$AA$88:$AF$88</c:f>
              <c:numCache>
                <c:formatCode>0%</c:formatCode>
                <c:ptCount val="6"/>
                <c:pt idx="0">
                  <c:v>0.76315789473684215</c:v>
                </c:pt>
                <c:pt idx="1">
                  <c:v>0.81578947368421051</c:v>
                </c:pt>
                <c:pt idx="2">
                  <c:v>0.68421052631578949</c:v>
                </c:pt>
                <c:pt idx="3">
                  <c:v>0.57894736842105265</c:v>
                </c:pt>
                <c:pt idx="4">
                  <c:v>0.76315789473684215</c:v>
                </c:pt>
                <c:pt idx="5">
                  <c:v>0.76315789473684215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Wellbeing!$Z$81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Wellbeing!$AA$77:$AF$77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Wellbeing!$AA$81:$AF$81</c:f>
              <c:numCache>
                <c:formatCode>0%</c:formatCode>
                <c:ptCount val="6"/>
                <c:pt idx="0">
                  <c:v>0.72727272727272729</c:v>
                </c:pt>
                <c:pt idx="1">
                  <c:v>0.63636363636363635</c:v>
                </c:pt>
                <c:pt idx="2">
                  <c:v>0.45454545454545453</c:v>
                </c:pt>
                <c:pt idx="3">
                  <c:v>0.72727272727272729</c:v>
                </c:pt>
                <c:pt idx="4">
                  <c:v>0.63636363636363635</c:v>
                </c:pt>
                <c:pt idx="5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Wellbeing!$Z$74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2F317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E317B"/>
                </a:solidFill>
              </a:ln>
              <a:effectLst/>
            </c:spPr>
          </c:marker>
          <c:cat>
            <c:strRef>
              <c:f>Wellbeing!$AA$70:$AF$70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Wellbeing!$AA$74:$AF$74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0.625</c:v>
                </c:pt>
                <c:pt idx="4">
                  <c:v>0.375</c:v>
                </c:pt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manage well under pressure.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Wellbeing!$J$134:$K$134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Wellbeing!$L$133:$N$133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Wellbeing!$L$134:$N$134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Wellbeing!$J$135:$K$135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Wellbeing!$L$133:$N$133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Wellbeing!$L$135:$N$135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0.18181818181818182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Wellbeing!$J$136:$K$136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Wellbeing!$L$133:$N$133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Wellbeing!$L$136:$N$136</c:f>
              <c:numCache>
                <c:formatCode>0%</c:formatCode>
                <c:ptCount val="3"/>
                <c:pt idx="0">
                  <c:v>5.2631578947368418E-2</c:v>
                </c:pt>
                <c:pt idx="1">
                  <c:v>0.18421052631578946</c:v>
                </c:pt>
                <c:pt idx="2">
                  <c:v>0.76315789473684215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I can bring my authentic self to work.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Wellbeing!$J$138:$K$138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Wellbeing!$L$137:$N$137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Wellbeing!$L$138:$N$138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Wellbeing!$J$139:$K$139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Wellbeing!$L$137:$N$137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Wellbeing!$L$139:$N$139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0.27272727272727271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Wellbeing!$J$140:$K$140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Wellbeing!$L$137:$N$137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Wellbeing!$L$140:$N$140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0.15789473684210525</c:v>
                </c:pt>
                <c:pt idx="2">
                  <c:v>0.81578947368421051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proactively care for each other's wellbeing.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Wellbeing!$J$142:$K$142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Wellbeing!$L$141:$N$141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Wellbeing!$L$142:$N$142</c:f>
              <c:numCache>
                <c:formatCode>0%</c:formatCode>
                <c:ptCount val="3"/>
                <c:pt idx="0">
                  <c:v>0.125</c:v>
                </c:pt>
                <c:pt idx="1">
                  <c:v>0.375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Wellbeing!$J$143:$K$143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Wellbeing!$L$141:$N$141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Wellbeing!$L$143:$N$143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0.45454545454545453</c:v>
                </c:pt>
                <c:pt idx="2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Wellbeing!$J$144:$K$144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Wellbeing!$L$141:$N$141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Wellbeing!$L$144:$N$144</c:f>
              <c:numCache>
                <c:formatCode>0%</c:formatCode>
                <c:ptCount val="3"/>
                <c:pt idx="0">
                  <c:v>5.2631578947368418E-2</c:v>
                </c:pt>
                <c:pt idx="1">
                  <c:v>0.26315789473684209</c:v>
                </c:pt>
                <c:pt idx="2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come together in stressful situations.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Wellbeing!$J$146:$K$146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Wellbeing!$L$145:$N$145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Wellbeing!$L$146:$N$146</c:f>
              <c:numCache>
                <c:formatCode>0%</c:formatCode>
                <c:ptCount val="3"/>
                <c:pt idx="0">
                  <c:v>0</c:v>
                </c:pt>
                <c:pt idx="1">
                  <c:v>0.375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Wellbeing!$J$147:$K$147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Wellbeing!$L$145:$N$145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Wellbeing!$L$147:$N$147</c:f>
              <c:numCache>
                <c:formatCode>0%</c:formatCode>
                <c:ptCount val="3"/>
                <c:pt idx="0">
                  <c:v>0</c:v>
                </c:pt>
                <c:pt idx="1">
                  <c:v>0.27272727272727271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Wellbeing!$J$148:$K$148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Wellbeing!$L$145:$N$145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Wellbeing!$L$148:$N$148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0.39473684210526316</c:v>
                </c:pt>
                <c:pt idx="2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connect with each other on a personal level.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Wellbeing!$J$150:$K$150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Wellbeing!$L$149:$N$149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Wellbeing!$L$150:$N$150</c:f>
              <c:numCache>
                <c:formatCode>0%</c:formatCode>
                <c:ptCount val="3"/>
                <c:pt idx="0">
                  <c:v>0</c:v>
                </c:pt>
                <c:pt idx="1">
                  <c:v>0.625</c:v>
                </c:pt>
                <c:pt idx="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Wellbeing!$J$151:$K$151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Wellbeing!$L$149:$N$149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Wellbeing!$L$151:$N$151</c:f>
              <c:numCache>
                <c:formatCode>0%</c:formatCode>
                <c:ptCount val="3"/>
                <c:pt idx="0">
                  <c:v>0</c:v>
                </c:pt>
                <c:pt idx="1">
                  <c:v>0.36363636363636365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Wellbeing!$J$152:$K$152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Wellbeing!$L$149:$N$149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Wellbeing!$L$152:$N$152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0.21052631578947367</c:v>
                </c:pt>
                <c:pt idx="2">
                  <c:v>0.76315789473684215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r>
              <a:rPr lang="en-US"/>
              <a:t>We foster a sense of belonging.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Wellbeing!$J$154:$K$154</c:f>
              <c:strCache>
                <c:ptCount val="2"/>
                <c:pt idx="0">
                  <c:v>CEO/SLT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Wellbeing!$L$153:$N$153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Wellbeing!$L$154:$N$154</c:f>
              <c:numCache>
                <c:formatCode>0%</c:formatCode>
                <c:ptCount val="3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D342-ABA7-93A3BC724C52}"/>
            </c:ext>
          </c:extLst>
        </c:ser>
        <c:ser>
          <c:idx val="1"/>
          <c:order val="1"/>
          <c:tx>
            <c:strRef>
              <c:f>Wellbeing!$J$155:$K$155</c:f>
              <c:strCache>
                <c:ptCount val="2"/>
                <c:pt idx="0">
                  <c:v>Direct Manager</c:v>
                </c:pt>
              </c:strCache>
            </c:strRef>
          </c:tx>
          <c:spPr>
            <a:solidFill>
              <a:srgbClr val="70AD47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Wellbeing!$L$153:$N$153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Wellbeing!$L$155:$N$155</c:f>
              <c:numCache>
                <c:formatCode>0%</c:formatCode>
                <c:ptCount val="3"/>
                <c:pt idx="0">
                  <c:v>0</c:v>
                </c:pt>
                <c:pt idx="1">
                  <c:v>0.27272727272727271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7-D342-ABA7-93A3BC724C52}"/>
            </c:ext>
          </c:extLst>
        </c:ser>
        <c:ser>
          <c:idx val="2"/>
          <c:order val="2"/>
          <c:tx>
            <c:strRef>
              <c:f>Wellbeing!$J$156:$K$156</c:f>
              <c:strCache>
                <c:ptCount val="2"/>
                <c:pt idx="0">
                  <c:v>Team Member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Wellbeing!$L$153:$N$153</c:f>
              <c:strCache>
                <c:ptCount val="3"/>
                <c:pt idx="0">
                  <c:v>Disagree</c:v>
                </c:pt>
                <c:pt idx="1">
                  <c:v>Neutral</c:v>
                </c:pt>
                <c:pt idx="2">
                  <c:v>Agree</c:v>
                </c:pt>
              </c:strCache>
            </c:strRef>
          </c:cat>
          <c:val>
            <c:numRef>
              <c:f>Wellbeing!$L$156:$N$156</c:f>
              <c:numCache>
                <c:formatCode>0%</c:formatCode>
                <c:ptCount val="3"/>
                <c:pt idx="0">
                  <c:v>2.6315789473684209E-2</c:v>
                </c:pt>
                <c:pt idx="1">
                  <c:v>0.21052631578947367</c:v>
                </c:pt>
                <c:pt idx="2">
                  <c:v>0.76315789473684215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7-D342-ABA7-93A3BC7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53373024"/>
        <c:axId val="592104336"/>
      </c:barChart>
      <c:catAx>
        <c:axId val="5533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92104336"/>
        <c:crosses val="autoZero"/>
        <c:auto val="1"/>
        <c:lblAlgn val="ctr"/>
        <c:lblOffset val="100"/>
        <c:noMultiLvlLbl val="0"/>
      </c:catAx>
      <c:valAx>
        <c:axId val="592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5533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&amp; Lowest Scores'!$C$1</c:f>
              <c:strCache>
                <c:ptCount val="1"/>
                <c:pt idx="0">
                  <c:v>Highest Scores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'Highest &amp; Lowest Scores'!$B$2:$B$11</c:f>
              <c:strCache>
                <c:ptCount val="10"/>
                <c:pt idx="0">
                  <c:v>We Have High Performance Expectations In This Company.</c:v>
                </c:pt>
                <c:pt idx="1">
                  <c:v>I Am Optimistic About The Organization's Future.</c:v>
                </c:pt>
                <c:pt idx="2">
                  <c:v>We Exhibit A Can-Do Attitude.</c:v>
                </c:pt>
                <c:pt idx="3">
                  <c:v>I Feel Respected In The Organization.</c:v>
                </c:pt>
                <c:pt idx="4">
                  <c:v>We See Ourselves As Results-Driven.</c:v>
                </c:pt>
                <c:pt idx="5">
                  <c:v>I Feel Supported By Our Leaders.</c:v>
                </c:pt>
                <c:pt idx="6">
                  <c:v>Leaders Behave Ethically.</c:v>
                </c:pt>
                <c:pt idx="7">
                  <c:v>I Can Bring My Authentic Self To Work.</c:v>
                </c:pt>
                <c:pt idx="8">
                  <c:v>Leaders Give Others The Opportunity To Shine.</c:v>
                </c:pt>
                <c:pt idx="9">
                  <c:v>We Are Purpose-Driven.</c:v>
                </c:pt>
              </c:strCache>
            </c:strRef>
          </c:cat>
          <c:val>
            <c:numRef>
              <c:f>'Highest &amp; Lowest Scores'!$C$2:$C$11</c:f>
              <c:numCache>
                <c:formatCode>0%</c:formatCode>
                <c:ptCount val="10"/>
                <c:pt idx="0">
                  <c:v>0.96</c:v>
                </c:pt>
                <c:pt idx="1">
                  <c:v>0.96</c:v>
                </c:pt>
                <c:pt idx="2">
                  <c:v>0.93</c:v>
                </c:pt>
                <c:pt idx="3">
                  <c:v>0.91</c:v>
                </c:pt>
                <c:pt idx="4">
                  <c:v>0.88</c:v>
                </c:pt>
                <c:pt idx="5">
                  <c:v>0.88</c:v>
                </c:pt>
                <c:pt idx="6">
                  <c:v>0.82</c:v>
                </c:pt>
                <c:pt idx="7">
                  <c:v>0.81</c:v>
                </c:pt>
                <c:pt idx="8">
                  <c:v>0.79</c:v>
                </c:pt>
                <c:pt idx="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7-8445-B925-F07412821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36"/>
        <c:axId val="1740729999"/>
        <c:axId val="1652403807"/>
      </c:barChart>
      <c:catAx>
        <c:axId val="17407299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Medium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652403807"/>
        <c:crosses val="autoZero"/>
        <c:auto val="1"/>
        <c:lblAlgn val="ctr"/>
        <c:lblOffset val="100"/>
        <c:noMultiLvlLbl val="0"/>
      </c:catAx>
      <c:valAx>
        <c:axId val="1652403807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2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&amp; Lowest Scores'!$L$1</c:f>
              <c:strCache>
                <c:ptCount val="1"/>
                <c:pt idx="0">
                  <c:v>Lowest Scores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Ginto Normal Medium" panose="02000005030000020004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'Highest &amp; Lowest Scores'!$K$2:$K$12</c:f>
              <c:strCache>
                <c:ptCount val="11"/>
                <c:pt idx="0">
                  <c:v>We Connect With Each Other On A Personal Level.</c:v>
                </c:pt>
                <c:pt idx="1">
                  <c:v>It Is Safe To Speak Our Minds Even When Our Views Could Be Considered Controversial.     </c:v>
                </c:pt>
                <c:pt idx="2">
                  <c:v>We Are Committed To Each Other’s Success.</c:v>
                </c:pt>
                <c:pt idx="3">
                  <c:v>We Speak Honestly To Each Other.</c:v>
                </c:pt>
                <c:pt idx="4">
                  <c:v>We Give People The Benefit Of The Doubt.</c:v>
                </c:pt>
                <c:pt idx="5">
                  <c:v>We Proactively Care For Each Other’s Wellbeing.</c:v>
                </c:pt>
                <c:pt idx="6">
                  <c:v>We Come Together In Stressful Situations.</c:v>
                </c:pt>
                <c:pt idx="7">
                  <c:v>We Work Collaboratively Across Silos.</c:v>
                </c:pt>
                <c:pt idx="8">
                  <c:v>We Are Invested In Each Other’s Success.</c:v>
                </c:pt>
                <c:pt idx="9">
                  <c:v>We Willing Accept Tough Feedback.</c:v>
                </c:pt>
                <c:pt idx="10">
                  <c:v>We Effectively Address Poor Performance.</c:v>
                </c:pt>
              </c:strCache>
            </c:strRef>
          </c:cat>
          <c:val>
            <c:numRef>
              <c:f>'Highest &amp; Lowest Scores'!$L$2:$L$12</c:f>
              <c:numCache>
                <c:formatCode>0%</c:formatCode>
                <c:ptCount val="11"/>
                <c:pt idx="0">
                  <c:v>0.68</c:v>
                </c:pt>
                <c:pt idx="1">
                  <c:v>0.63</c:v>
                </c:pt>
                <c:pt idx="2">
                  <c:v>0.63</c:v>
                </c:pt>
                <c:pt idx="3">
                  <c:v>0.61</c:v>
                </c:pt>
                <c:pt idx="4">
                  <c:v>0.61</c:v>
                </c:pt>
                <c:pt idx="5">
                  <c:v>0.61</c:v>
                </c:pt>
                <c:pt idx="6">
                  <c:v>0.61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0.49</c:v>
                </c:pt>
                <c:pt idx="10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7-8445-B925-F07412821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36"/>
        <c:axId val="1740729999"/>
        <c:axId val="1652403807"/>
      </c:barChart>
      <c:catAx>
        <c:axId val="17407299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Ginto Normal Medium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652403807"/>
        <c:crosses val="autoZero"/>
        <c:auto val="1"/>
        <c:lblAlgn val="ctr"/>
        <c:lblOffset val="100"/>
        <c:noMultiLvlLbl val="0"/>
      </c:catAx>
      <c:valAx>
        <c:axId val="1652403807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2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'Line Graphs per Level'!$B$14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Level'!$C$13:$H$13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'Line Graphs per Level'!$C$14:$H$14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0.625</c:v>
                </c:pt>
                <c:pt idx="4">
                  <c:v>0.375</c:v>
                </c:pt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ser>
          <c:idx val="1"/>
          <c:order val="1"/>
          <c:tx>
            <c:strRef>
              <c:f>'Line Graphs per Level'!$B$15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70AD47">
                  <a:lumMod val="7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75000"/>
                </a:srgbClr>
              </a:solidFill>
              <a:ln w="9525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Level'!$C$13:$H$13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'Line Graphs per Level'!$C$15:$H$15</c:f>
              <c:numCache>
                <c:formatCode>0%</c:formatCode>
                <c:ptCount val="6"/>
                <c:pt idx="0">
                  <c:v>0.72727272727272729</c:v>
                </c:pt>
                <c:pt idx="1">
                  <c:v>0.63636363636363635</c:v>
                </c:pt>
                <c:pt idx="2">
                  <c:v>0.45454545454545453</c:v>
                </c:pt>
                <c:pt idx="3">
                  <c:v>0.72727272727272729</c:v>
                </c:pt>
                <c:pt idx="4">
                  <c:v>0.63636363636363635</c:v>
                </c:pt>
                <c:pt idx="5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DE-464E-9976-950ACD870F55}"/>
            </c:ext>
          </c:extLst>
        </c:ser>
        <c:ser>
          <c:idx val="2"/>
          <c:order val="2"/>
          <c:tx>
            <c:strRef>
              <c:f>'Line Graphs per Level'!$B$16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Graphs per Level'!$C$13:$H$13</c:f>
              <c:strCache>
                <c:ptCount val="6"/>
                <c:pt idx="0">
                  <c:v>We manage well under pressure.</c:v>
                </c:pt>
                <c:pt idx="1">
                  <c:v>I can bring my authentic self to work.</c:v>
                </c:pt>
                <c:pt idx="2">
                  <c:v>We proactively care for each other's wellbeing.</c:v>
                </c:pt>
                <c:pt idx="3">
                  <c:v>We come together in stressful situations.</c:v>
                </c:pt>
                <c:pt idx="4">
                  <c:v>We connect with each other on a personal level.</c:v>
                </c:pt>
                <c:pt idx="5">
                  <c:v>We foster a sense of belonging.</c:v>
                </c:pt>
              </c:strCache>
            </c:strRef>
          </c:cat>
          <c:val>
            <c:numRef>
              <c:f>'Line Graphs per Level'!$C$16:$H$16</c:f>
              <c:numCache>
                <c:formatCode>0%</c:formatCode>
                <c:ptCount val="6"/>
                <c:pt idx="0">
                  <c:v>0.76315789473684215</c:v>
                </c:pt>
                <c:pt idx="1">
                  <c:v>0.81578947368421051</c:v>
                </c:pt>
                <c:pt idx="2">
                  <c:v>0.68421052631578949</c:v>
                </c:pt>
                <c:pt idx="3">
                  <c:v>0.57894736842105265</c:v>
                </c:pt>
                <c:pt idx="4">
                  <c:v>0.76315789473684215</c:v>
                </c:pt>
                <c:pt idx="5">
                  <c:v>0.76315789473684215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DE-464E-9976-950ACD87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'Line Graphs per Level'!$B$30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Level'!$C$29:$H$29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'Line Graphs per Level'!$C$30:$H$30</c:f>
              <c:numCache>
                <c:formatCode>0%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0.625</c:v>
                </c:pt>
                <c:pt idx="3">
                  <c:v>1</c:v>
                </c:pt>
                <c:pt idx="4">
                  <c:v>0.5</c:v>
                </c:pt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ser>
          <c:idx val="1"/>
          <c:order val="1"/>
          <c:tx>
            <c:strRef>
              <c:f>'Line Graphs per Level'!$B$31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70AD47">
                  <a:lumMod val="7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75000"/>
                </a:srgbClr>
              </a:solidFill>
              <a:ln w="9525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Level'!$C$29:$H$29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'Line Graphs per Level'!$C$31:$H$31</c:f>
              <c:numCache>
                <c:formatCode>0%</c:formatCode>
                <c:ptCount val="6"/>
                <c:pt idx="0">
                  <c:v>0.90909090909090906</c:v>
                </c:pt>
                <c:pt idx="1">
                  <c:v>1</c:v>
                </c:pt>
                <c:pt idx="2">
                  <c:v>0.18181818181818182</c:v>
                </c:pt>
                <c:pt idx="3">
                  <c:v>1</c:v>
                </c:pt>
                <c:pt idx="4">
                  <c:v>0.36363636363636365</c:v>
                </c:pt>
                <c:pt idx="5">
                  <c:v>0.81818181818181823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DE-464E-9976-950ACD870F55}"/>
            </c:ext>
          </c:extLst>
        </c:ser>
        <c:ser>
          <c:idx val="2"/>
          <c:order val="2"/>
          <c:tx>
            <c:strRef>
              <c:f>'Line Graphs per Level'!$B$32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Graphs per Level'!$C$29:$H$29</c:f>
              <c:strCache>
                <c:ptCount val="6"/>
                <c:pt idx="0">
                  <c:v>I feel supported by our leaders.</c:v>
                </c:pt>
                <c:pt idx="1">
                  <c:v>We are results driven.</c:v>
                </c:pt>
                <c:pt idx="2">
                  <c:v>We willingly accept tough feedback.</c:v>
                </c:pt>
                <c:pt idx="3">
                  <c:v>We have high performance expectations in this company.</c:v>
                </c:pt>
                <c:pt idx="4">
                  <c:v>We effectively address poor performance.</c:v>
                </c:pt>
                <c:pt idx="5">
                  <c:v>We recognize strong performance.</c:v>
                </c:pt>
              </c:strCache>
            </c:strRef>
          </c:cat>
          <c:val>
            <c:numRef>
              <c:f>'Line Graphs per Level'!$C$32:$H$32</c:f>
              <c:numCache>
                <c:formatCode>0%</c:formatCode>
                <c:ptCount val="6"/>
                <c:pt idx="0">
                  <c:v>0.86842105263157898</c:v>
                </c:pt>
                <c:pt idx="1">
                  <c:v>0.86842105263157898</c:v>
                </c:pt>
                <c:pt idx="2">
                  <c:v>0.55263157894736847</c:v>
                </c:pt>
                <c:pt idx="3">
                  <c:v>0.94736842105263153</c:v>
                </c:pt>
                <c:pt idx="4">
                  <c:v>0.44736842105263158</c:v>
                </c:pt>
                <c:pt idx="5">
                  <c:v>0.68421052631578949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DE-464E-9976-950ACD87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'Line Graphs per Level'!$B$45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Level'!$C$44:$H$44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'Line Graphs per Level'!$C$45:$H$45</c:f>
              <c:numCache>
                <c:formatCode>0%</c:formatCode>
                <c:ptCount val="6"/>
                <c:pt idx="0">
                  <c:v>0.875</c:v>
                </c:pt>
                <c:pt idx="1">
                  <c:v>0.75</c:v>
                </c:pt>
                <c:pt idx="2">
                  <c:v>0.875</c:v>
                </c:pt>
                <c:pt idx="3">
                  <c:v>0.5</c:v>
                </c:pt>
                <c:pt idx="4">
                  <c:v>0.625</c:v>
                </c:pt>
                <c:pt idx="5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ser>
          <c:idx val="1"/>
          <c:order val="1"/>
          <c:tx>
            <c:strRef>
              <c:f>'Line Graphs per Level'!$B$46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70AD47">
                  <a:lumMod val="7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75000"/>
                </a:srgbClr>
              </a:solidFill>
              <a:ln w="9525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Level'!$C$44:$H$44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'Line Graphs per Level'!$C$46:$H$46</c:f>
              <c:numCache>
                <c:formatCode>0%</c:formatCode>
                <c:ptCount val="6"/>
                <c:pt idx="0">
                  <c:v>1</c:v>
                </c:pt>
                <c:pt idx="1">
                  <c:v>0.63636363636363635</c:v>
                </c:pt>
                <c:pt idx="2">
                  <c:v>0.72727272727272729</c:v>
                </c:pt>
                <c:pt idx="3">
                  <c:v>0.63636363636363635</c:v>
                </c:pt>
                <c:pt idx="4">
                  <c:v>0.90909090909090906</c:v>
                </c:pt>
                <c:pt idx="5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DE-464E-9976-950ACD870F55}"/>
            </c:ext>
          </c:extLst>
        </c:ser>
        <c:ser>
          <c:idx val="2"/>
          <c:order val="2"/>
          <c:tx>
            <c:strRef>
              <c:f>'Line Graphs per Level'!$B$47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Graphs per Level'!$C$44:$H$44</c:f>
              <c:strCache>
                <c:ptCount val="6"/>
                <c:pt idx="0">
                  <c:v>I am optimistic about our organization's future.</c:v>
                </c:pt>
                <c:pt idx="1">
                  <c:v>We refer to our Purpose when making decisions.</c:v>
                </c:pt>
                <c:pt idx="2">
                  <c:v>Leaders give others the opportunity to shine.</c:v>
                </c:pt>
                <c:pt idx="3">
                  <c:v>We are invested in each other's success.</c:v>
                </c:pt>
                <c:pt idx="4">
                  <c:v>Leaders behave ethically by doing the right thing.</c:v>
                </c:pt>
                <c:pt idx="5">
                  <c:v>Our decisions and behaviors reflect our values.</c:v>
                </c:pt>
              </c:strCache>
            </c:strRef>
          </c:cat>
          <c:val>
            <c:numRef>
              <c:f>'Line Graphs per Level'!$C$47:$H$47</c:f>
              <c:numCache>
                <c:formatCode>0%</c:formatCode>
                <c:ptCount val="6"/>
                <c:pt idx="0">
                  <c:v>0.97368421052631582</c:v>
                </c:pt>
                <c:pt idx="1">
                  <c:v>0.76315789473684215</c:v>
                </c:pt>
                <c:pt idx="2">
                  <c:v>0.78947368421052633</c:v>
                </c:pt>
                <c:pt idx="3">
                  <c:v>0.55263157894736847</c:v>
                </c:pt>
                <c:pt idx="4">
                  <c:v>0.84210526315789469</c:v>
                </c:pt>
                <c:pt idx="5">
                  <c:v>0.63157894736842102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DE-464E-9976-950ACD87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'Line Graphs per Level'!$B$62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Level'!$C$61:$H$61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'Line Graphs per Level'!$C$62:$H$62</c:f>
              <c:numCache>
                <c:formatCode>0%</c:formatCode>
                <c:ptCount val="6"/>
                <c:pt idx="0">
                  <c:v>0.875</c:v>
                </c:pt>
                <c:pt idx="1">
                  <c:v>0.5</c:v>
                </c:pt>
                <c:pt idx="2">
                  <c:v>0.875</c:v>
                </c:pt>
                <c:pt idx="3">
                  <c:v>0.75</c:v>
                </c:pt>
                <c:pt idx="4">
                  <c:v>0.625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ser>
          <c:idx val="1"/>
          <c:order val="1"/>
          <c:tx>
            <c:strRef>
              <c:f>'Line Graphs per Level'!$B$63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70AD47">
                  <a:lumMod val="7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75000"/>
                </a:srgbClr>
              </a:solidFill>
              <a:ln w="9525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Level'!$C$61:$H$61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'Line Graphs per Level'!$C$63:$H$63</c:f>
              <c:numCache>
                <c:formatCode>0%</c:formatCode>
                <c:ptCount val="6"/>
                <c:pt idx="0">
                  <c:v>0.63636363636363635</c:v>
                </c:pt>
                <c:pt idx="1">
                  <c:v>0.54545454545454541</c:v>
                </c:pt>
                <c:pt idx="2">
                  <c:v>0.90909090909090906</c:v>
                </c:pt>
                <c:pt idx="3">
                  <c:v>0.72727272727272729</c:v>
                </c:pt>
                <c:pt idx="4">
                  <c:v>0.54545454545454541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DE-464E-9976-950ACD870F55}"/>
            </c:ext>
          </c:extLst>
        </c:ser>
        <c:ser>
          <c:idx val="2"/>
          <c:order val="2"/>
          <c:tx>
            <c:strRef>
              <c:f>'Line Graphs per Level'!$B$64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Graphs per Level'!$C$61:$H$61</c:f>
              <c:strCache>
                <c:ptCount val="6"/>
                <c:pt idx="0">
                  <c:v>It is safe to speak our minds even when our views could be controversial.</c:v>
                </c:pt>
                <c:pt idx="1">
                  <c:v>We work collaboratively across silos.</c:v>
                </c:pt>
                <c:pt idx="2">
                  <c:v>I feel respected in this organization.</c:v>
                </c:pt>
                <c:pt idx="3">
                  <c:v>We are committed to each other's success.</c:v>
                </c:pt>
                <c:pt idx="4">
                  <c:v>We give each other the benefit of the doubt.</c:v>
                </c:pt>
                <c:pt idx="5">
                  <c:v>We have a can-do attitude.</c:v>
                </c:pt>
              </c:strCache>
            </c:strRef>
          </c:cat>
          <c:val>
            <c:numRef>
              <c:f>'Line Graphs per Level'!$C$64:$H$64</c:f>
              <c:numCache>
                <c:formatCode>0%</c:formatCode>
                <c:ptCount val="6"/>
                <c:pt idx="0">
                  <c:v>0.57894736842105265</c:v>
                </c:pt>
                <c:pt idx="1">
                  <c:v>0.55263157894736847</c:v>
                </c:pt>
                <c:pt idx="2">
                  <c:v>0.86842105263157898</c:v>
                </c:pt>
                <c:pt idx="3">
                  <c:v>0.57894736842105265</c:v>
                </c:pt>
                <c:pt idx="4">
                  <c:v>0.63157894736842102</c:v>
                </c:pt>
                <c:pt idx="5">
                  <c:v>0.86842105263157898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DE-464E-9976-950ACD87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'Line Graphs per Level'!$B$81</c:f>
              <c:strCache>
                <c:ptCount val="1"/>
                <c:pt idx="0">
                  <c:v>CEO/SLT Agree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Level'!$C$80:$H$80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'Line Graphs per Level'!$C$81:$H$81</c:f>
              <c:numCache>
                <c:formatCode>0%</c:formatCode>
                <c:ptCount val="6"/>
                <c:pt idx="0">
                  <c:v>0.625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364D-B016-467459B8212E}"/>
            </c:ext>
          </c:extLst>
        </c:ser>
        <c:ser>
          <c:idx val="1"/>
          <c:order val="1"/>
          <c:tx>
            <c:strRef>
              <c:f>'Line Graphs per Level'!$B$82</c:f>
              <c:strCache>
                <c:ptCount val="1"/>
                <c:pt idx="0">
                  <c:v>Direct Manager Agree</c:v>
                </c:pt>
              </c:strCache>
            </c:strRef>
          </c:tx>
          <c:spPr>
            <a:ln w="28575" cap="rnd">
              <a:solidFill>
                <a:srgbClr val="70AD47">
                  <a:lumMod val="7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75000"/>
                </a:srgbClr>
              </a:solidFill>
              <a:ln w="9525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cat>
            <c:strRef>
              <c:f>'Line Graphs per Level'!$C$80:$H$80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'Line Graphs per Level'!$C$82:$H$82</c:f>
              <c:numCache>
                <c:formatCode>0%</c:formatCode>
                <c:ptCount val="6"/>
                <c:pt idx="0">
                  <c:v>0.63636363636363635</c:v>
                </c:pt>
                <c:pt idx="1">
                  <c:v>0.63636363636363635</c:v>
                </c:pt>
                <c:pt idx="2">
                  <c:v>0.72727272727272729</c:v>
                </c:pt>
                <c:pt idx="3">
                  <c:v>0.27272727272727271</c:v>
                </c:pt>
                <c:pt idx="4">
                  <c:v>0.81818181818181823</c:v>
                </c:pt>
                <c:pt idx="5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DE-464E-9976-950ACD870F55}"/>
            </c:ext>
          </c:extLst>
        </c:ser>
        <c:ser>
          <c:idx val="2"/>
          <c:order val="2"/>
          <c:tx>
            <c:strRef>
              <c:f>'Line Graphs per Level'!$B$83</c:f>
              <c:strCache>
                <c:ptCount val="1"/>
                <c:pt idx="0">
                  <c:v>Team Member Agree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Graphs per Level'!$C$80:$H$80</c:f>
              <c:strCache>
                <c:ptCount val="6"/>
                <c:pt idx="0">
                  <c:v>We speak honestly to each other.</c:v>
                </c:pt>
                <c:pt idx="1">
                  <c:v>We encourage differing viewpoints.</c:v>
                </c:pt>
                <c:pt idx="2">
                  <c:v>Our meetings are generally productive.</c:v>
                </c:pt>
                <c:pt idx="3">
                  <c:v>Office politics do not influence behavior.</c:v>
                </c:pt>
                <c:pt idx="4">
                  <c:v>We make an effort to understand each other.</c:v>
                </c:pt>
                <c:pt idx="5">
                  <c:v>We share strategic information.</c:v>
                </c:pt>
              </c:strCache>
            </c:strRef>
          </c:cat>
          <c:val>
            <c:numRef>
              <c:f>'Line Graphs per Level'!$C$83:$H$83</c:f>
              <c:numCache>
                <c:formatCode>0%</c:formatCode>
                <c:ptCount val="6"/>
                <c:pt idx="0">
                  <c:v>0.60526315789473684</c:v>
                </c:pt>
                <c:pt idx="1">
                  <c:v>0.68421052631578949</c:v>
                </c:pt>
                <c:pt idx="2">
                  <c:v>0.60526315789473684</c:v>
                </c:pt>
                <c:pt idx="3">
                  <c:v>0.31578947368421051</c:v>
                </c:pt>
                <c:pt idx="4">
                  <c:v>0.68421052631578949</c:v>
                </c:pt>
                <c:pt idx="5">
                  <c:v>0.57894736842105265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DE-464E-9976-950ACD87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29775"/>
        <c:axId val="1272828975"/>
      </c:lineChart>
      <c:catAx>
        <c:axId val="1272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8975"/>
        <c:crosses val="autoZero"/>
        <c:auto val="1"/>
        <c:lblAlgn val="ctr"/>
        <c:lblOffset val="100"/>
        <c:noMultiLvlLbl val="0"/>
      </c:catAx>
      <c:valAx>
        <c:axId val="1272828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71741"/>
                </a:solidFill>
                <a:latin typeface="Ginto Normal Light" panose="02000005030000020004" pitchFamily="2" charset="0"/>
                <a:ea typeface="+mn-ea"/>
                <a:cs typeface="+mn-cs"/>
              </a:defRPr>
            </a:pPr>
            <a:endParaRPr lang="en-US"/>
          </a:p>
        </c:txPr>
        <c:crossAx val="1272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171741"/>
              </a:solidFill>
              <a:latin typeface="Ginto Normal Light" panose="0200000503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13" Type="http://schemas.openxmlformats.org/officeDocument/2006/relationships/chart" Target="../charts/chart51.xml"/><Relationship Id="rId18" Type="http://schemas.openxmlformats.org/officeDocument/2006/relationships/chart" Target="../charts/chart56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17" Type="http://schemas.openxmlformats.org/officeDocument/2006/relationships/chart" Target="../charts/chart55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10" Type="http://schemas.openxmlformats.org/officeDocument/2006/relationships/chart" Target="../charts/chart48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13" Type="http://schemas.openxmlformats.org/officeDocument/2006/relationships/chart" Target="../charts/chart69.xml"/><Relationship Id="rId18" Type="http://schemas.openxmlformats.org/officeDocument/2006/relationships/chart" Target="../charts/chart7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12" Type="http://schemas.openxmlformats.org/officeDocument/2006/relationships/chart" Target="../charts/chart68.xml"/><Relationship Id="rId17" Type="http://schemas.openxmlformats.org/officeDocument/2006/relationships/chart" Target="../charts/chart73.xml"/><Relationship Id="rId2" Type="http://schemas.openxmlformats.org/officeDocument/2006/relationships/chart" Target="../charts/chart58.xml"/><Relationship Id="rId16" Type="http://schemas.openxmlformats.org/officeDocument/2006/relationships/chart" Target="../charts/chart72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chart" Target="../charts/chart67.xml"/><Relationship Id="rId5" Type="http://schemas.openxmlformats.org/officeDocument/2006/relationships/chart" Target="../charts/chart61.xml"/><Relationship Id="rId15" Type="http://schemas.openxmlformats.org/officeDocument/2006/relationships/chart" Target="../charts/chart71.xml"/><Relationship Id="rId10" Type="http://schemas.openxmlformats.org/officeDocument/2006/relationships/chart" Target="../charts/chart66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Relationship Id="rId14" Type="http://schemas.openxmlformats.org/officeDocument/2006/relationships/chart" Target="../charts/chart7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2.xml"/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3" Type="http://schemas.openxmlformats.org/officeDocument/2006/relationships/chart" Target="../charts/chart77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10" Type="http://schemas.openxmlformats.org/officeDocument/2006/relationships/chart" Target="../charts/chart84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7.xml"/><Relationship Id="rId2" Type="http://schemas.openxmlformats.org/officeDocument/2006/relationships/chart" Target="../charts/chart96.xml"/><Relationship Id="rId1" Type="http://schemas.openxmlformats.org/officeDocument/2006/relationships/chart" Target="../charts/chart95.xml"/><Relationship Id="rId5" Type="http://schemas.openxmlformats.org/officeDocument/2006/relationships/chart" Target="../charts/chart99.xml"/><Relationship Id="rId4" Type="http://schemas.openxmlformats.org/officeDocument/2006/relationships/chart" Target="../charts/chart9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72</xdr:row>
      <xdr:rowOff>177800</xdr:rowOff>
    </xdr:from>
    <xdr:to>
      <xdr:col>6</xdr:col>
      <xdr:colOff>603250</xdr:colOff>
      <xdr:row>86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74B69-EE16-F458-0533-F72CD0153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184150</xdr:colOff>
      <xdr:row>87</xdr:row>
      <xdr:rowOff>76200</xdr:rowOff>
    </xdr:from>
    <xdr:to>
      <xdr:col>6</xdr:col>
      <xdr:colOff>628650</xdr:colOff>
      <xdr:row>100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CEE3E7-BBA9-33B5-D4AA-31FF7A72C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196850</xdr:colOff>
      <xdr:row>101</xdr:row>
      <xdr:rowOff>152400</xdr:rowOff>
    </xdr:from>
    <xdr:to>
      <xdr:col>6</xdr:col>
      <xdr:colOff>641350</xdr:colOff>
      <xdr:row>115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DD3834-45CE-74D1-E521-068CF001E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116</xdr:row>
      <xdr:rowOff>0</xdr:rowOff>
    </xdr:from>
    <xdr:to>
      <xdr:col>6</xdr:col>
      <xdr:colOff>444500</xdr:colOff>
      <xdr:row>129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1FA027-2143-5F4B-9856-97ED803DF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577850</xdr:colOff>
      <xdr:row>63</xdr:row>
      <xdr:rowOff>0</xdr:rowOff>
    </xdr:from>
    <xdr:to>
      <xdr:col>23</xdr:col>
      <xdr:colOff>196850</xdr:colOff>
      <xdr:row>76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EBF2F6-4843-4CCA-F8EA-1352D5C44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387350</xdr:colOff>
      <xdr:row>56</xdr:row>
      <xdr:rowOff>177800</xdr:rowOff>
    </xdr:from>
    <xdr:to>
      <xdr:col>39</xdr:col>
      <xdr:colOff>6350</xdr:colOff>
      <xdr:row>70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3208AB-6850-CDF3-3BCC-B8084A129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774700</xdr:colOff>
      <xdr:row>76</xdr:row>
      <xdr:rowOff>196850</xdr:rowOff>
    </xdr:from>
    <xdr:to>
      <xdr:col>23</xdr:col>
      <xdr:colOff>393700</xdr:colOff>
      <xdr:row>87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58611C-6B4F-6AD4-B0B1-C82D4F3F6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88</xdr:row>
      <xdr:rowOff>6350</xdr:rowOff>
    </xdr:from>
    <xdr:to>
      <xdr:col>23</xdr:col>
      <xdr:colOff>444500</xdr:colOff>
      <xdr:row>101</xdr:row>
      <xdr:rowOff>107950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893ED0-2B7A-386A-B224-9676DC09F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101600</xdr:colOff>
      <xdr:row>103</xdr:row>
      <xdr:rowOff>19050</xdr:rowOff>
    </xdr:from>
    <xdr:to>
      <xdr:col>24</xdr:col>
      <xdr:colOff>509924</xdr:colOff>
      <xdr:row>116</xdr:row>
      <xdr:rowOff>120650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F8C6036-F9C7-0807-C165-0B9D39396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736600</xdr:colOff>
      <xdr:row>70</xdr:row>
      <xdr:rowOff>44450</xdr:rowOff>
    </xdr:from>
    <xdr:to>
      <xdr:col>39</xdr:col>
      <xdr:colOff>355600</xdr:colOff>
      <xdr:row>83</xdr:row>
      <xdr:rowOff>146050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9B8631-5B3A-CAE6-A58D-06B6C533C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533400</xdr:colOff>
      <xdr:row>82</xdr:row>
      <xdr:rowOff>19050</xdr:rowOff>
    </xdr:from>
    <xdr:to>
      <xdr:col>39</xdr:col>
      <xdr:colOff>152400</xdr:colOff>
      <xdr:row>95</xdr:row>
      <xdr:rowOff>120650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F463528-BDF7-160F-53AC-9C173CA8F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63500</xdr:colOff>
      <xdr:row>89</xdr:row>
      <xdr:rowOff>107950</xdr:rowOff>
    </xdr:from>
    <xdr:to>
      <xdr:col>32</xdr:col>
      <xdr:colOff>508000</xdr:colOff>
      <xdr:row>103</xdr:row>
      <xdr:rowOff>6350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65EB2E0-ACED-1F81-AEE8-0B0B505E8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800100</xdr:colOff>
      <xdr:row>116</xdr:row>
      <xdr:rowOff>158750</xdr:rowOff>
    </xdr:from>
    <xdr:to>
      <xdr:col>22</xdr:col>
      <xdr:colOff>419100</xdr:colOff>
      <xdr:row>130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D287A5-D170-21E4-9F44-3640580E8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571500</xdr:colOff>
      <xdr:row>116</xdr:row>
      <xdr:rowOff>196850</xdr:rowOff>
    </xdr:from>
    <xdr:to>
      <xdr:col>28</xdr:col>
      <xdr:colOff>190500</xdr:colOff>
      <xdr:row>130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B21A72-811D-8D07-730C-626661E99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812800</xdr:colOff>
      <xdr:row>131</xdr:row>
      <xdr:rowOff>31750</xdr:rowOff>
    </xdr:from>
    <xdr:to>
      <xdr:col>22</xdr:col>
      <xdr:colOff>431800</xdr:colOff>
      <xdr:row>144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0920AE7-C359-0DF5-022A-1E1D8BB19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609600</xdr:colOff>
      <xdr:row>131</xdr:row>
      <xdr:rowOff>107950</xdr:rowOff>
    </xdr:from>
    <xdr:to>
      <xdr:col>28</xdr:col>
      <xdr:colOff>228600</xdr:colOff>
      <xdr:row>145</xdr:row>
      <xdr:rowOff>6350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137899-933F-49A9-8B2C-64D034A98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101600</xdr:colOff>
      <xdr:row>145</xdr:row>
      <xdr:rowOff>120650</xdr:rowOff>
    </xdr:from>
    <xdr:to>
      <xdr:col>22</xdr:col>
      <xdr:colOff>546100</xdr:colOff>
      <xdr:row>159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731B4EA-F86D-7B9D-0AE0-8E78B89BE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749300</xdr:colOff>
      <xdr:row>145</xdr:row>
      <xdr:rowOff>196850</xdr:rowOff>
    </xdr:from>
    <xdr:to>
      <xdr:col>28</xdr:col>
      <xdr:colOff>368300</xdr:colOff>
      <xdr:row>159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F8CF1C0-8E82-A602-902B-9606533A5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192</xdr:row>
      <xdr:rowOff>42334</xdr:rowOff>
    </xdr:from>
    <xdr:to>
      <xdr:col>10</xdr:col>
      <xdr:colOff>474134</xdr:colOff>
      <xdr:row>212</xdr:row>
      <xdr:rowOff>169334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2E24047-7FD5-A821-47AF-968761C69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27</xdr:col>
      <xdr:colOff>16933</xdr:colOff>
      <xdr:row>182</xdr:row>
      <xdr:rowOff>160867</xdr:rowOff>
    </xdr:from>
    <xdr:to>
      <xdr:col>32</xdr:col>
      <xdr:colOff>440266</xdr:colOff>
      <xdr:row>196</xdr:row>
      <xdr:rowOff>59267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5126FD4-787A-6578-E0CF-332AA3DFD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117</xdr:row>
      <xdr:rowOff>0</xdr:rowOff>
    </xdr:from>
    <xdr:to>
      <xdr:col>6</xdr:col>
      <xdr:colOff>444500</xdr:colOff>
      <xdr:row>130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816B0-AE08-0A45-A52F-E4704F6E4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819150</xdr:colOff>
      <xdr:row>73</xdr:row>
      <xdr:rowOff>139700</xdr:rowOff>
    </xdr:from>
    <xdr:to>
      <xdr:col>6</xdr:col>
      <xdr:colOff>438150</xdr:colOff>
      <xdr:row>87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BCD7BE-FD46-CC93-BD28-FC3B621D9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146050</xdr:colOff>
      <xdr:row>88</xdr:row>
      <xdr:rowOff>0</xdr:rowOff>
    </xdr:from>
    <xdr:to>
      <xdr:col>6</xdr:col>
      <xdr:colOff>590550</xdr:colOff>
      <xdr:row>101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E6AB3D-F6C1-3DC8-38F2-D7AC7708E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103</xdr:row>
      <xdr:rowOff>0</xdr:rowOff>
    </xdr:from>
    <xdr:to>
      <xdr:col>6</xdr:col>
      <xdr:colOff>444500</xdr:colOff>
      <xdr:row>116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08480F-BA06-1544-B69F-9000C9227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209550</xdr:colOff>
      <xdr:row>47</xdr:row>
      <xdr:rowOff>38100</xdr:rowOff>
    </xdr:from>
    <xdr:to>
      <xdr:col>22</xdr:col>
      <xdr:colOff>654050</xdr:colOff>
      <xdr:row>60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4BB5F4-2DAC-20D2-88FE-43CC1B293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107950</xdr:colOff>
      <xdr:row>60</xdr:row>
      <xdr:rowOff>0</xdr:rowOff>
    </xdr:from>
    <xdr:to>
      <xdr:col>37</xdr:col>
      <xdr:colOff>552450</xdr:colOff>
      <xdr:row>73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474372B-ED7F-2DBE-CC87-9D41B0B9A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419100</xdr:colOff>
      <xdr:row>69</xdr:row>
      <xdr:rowOff>184150</xdr:rowOff>
    </xdr:from>
    <xdr:to>
      <xdr:col>22</xdr:col>
      <xdr:colOff>38100</xdr:colOff>
      <xdr:row>83</xdr:row>
      <xdr:rowOff>82550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2A2E7B-5836-6154-7F6C-CB78E8878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457200</xdr:colOff>
      <xdr:row>79</xdr:row>
      <xdr:rowOff>31750</xdr:rowOff>
    </xdr:from>
    <xdr:to>
      <xdr:col>22</xdr:col>
      <xdr:colOff>76200</xdr:colOff>
      <xdr:row>92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2D71D5F-568F-CEC8-FE82-B4D389398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241300</xdr:colOff>
      <xdr:row>93</xdr:row>
      <xdr:rowOff>57150</xdr:rowOff>
    </xdr:from>
    <xdr:to>
      <xdr:col>21</xdr:col>
      <xdr:colOff>685800</xdr:colOff>
      <xdr:row>106</xdr:row>
      <xdr:rowOff>158750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6727BE-F197-FF87-B05C-C5386612D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635000</xdr:colOff>
      <xdr:row>70</xdr:row>
      <xdr:rowOff>95250</xdr:rowOff>
    </xdr:from>
    <xdr:to>
      <xdr:col>38</xdr:col>
      <xdr:colOff>254000</xdr:colOff>
      <xdr:row>83</xdr:row>
      <xdr:rowOff>196850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0BAE13-0DC9-4E6F-0DCC-93C5F7896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292100</xdr:colOff>
      <xdr:row>81</xdr:row>
      <xdr:rowOff>19050</xdr:rowOff>
    </xdr:from>
    <xdr:to>
      <xdr:col>37</xdr:col>
      <xdr:colOff>736600</xdr:colOff>
      <xdr:row>94</xdr:row>
      <xdr:rowOff>120650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866842-C7D0-CE2D-1F55-6FC78BA2E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787400</xdr:colOff>
      <xdr:row>90</xdr:row>
      <xdr:rowOff>107950</xdr:rowOff>
    </xdr:from>
    <xdr:to>
      <xdr:col>31</xdr:col>
      <xdr:colOff>406400</xdr:colOff>
      <xdr:row>104</xdr:row>
      <xdr:rowOff>6350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5D639A-4F70-342A-B684-E911D87EA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310444</xdr:colOff>
      <xdr:row>107</xdr:row>
      <xdr:rowOff>117123</xdr:rowOff>
    </xdr:from>
    <xdr:to>
      <xdr:col>20</xdr:col>
      <xdr:colOff>719666</xdr:colOff>
      <xdr:row>121</xdr:row>
      <xdr:rowOff>94545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8BD77-7D1A-CFB8-B239-6F94C5544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225777</xdr:colOff>
      <xdr:row>107</xdr:row>
      <xdr:rowOff>60679</xdr:rowOff>
    </xdr:from>
    <xdr:to>
      <xdr:col>26</xdr:col>
      <xdr:colOff>635000</xdr:colOff>
      <xdr:row>121</xdr:row>
      <xdr:rowOff>38101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E61AB8-6BC6-9042-1984-996AF103D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310444</xdr:colOff>
      <xdr:row>122</xdr:row>
      <xdr:rowOff>32456</xdr:rowOff>
    </xdr:from>
    <xdr:to>
      <xdr:col>20</xdr:col>
      <xdr:colOff>719666</xdr:colOff>
      <xdr:row>136</xdr:row>
      <xdr:rowOff>9878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DAE996-E227-92C6-6411-43B9F32E2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112888</xdr:colOff>
      <xdr:row>122</xdr:row>
      <xdr:rowOff>74788</xdr:rowOff>
    </xdr:from>
    <xdr:to>
      <xdr:col>26</xdr:col>
      <xdr:colOff>522111</xdr:colOff>
      <xdr:row>136</xdr:row>
      <xdr:rowOff>52210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F9AD75-4C64-7E8D-55F7-7148B80E1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296333</xdr:colOff>
      <xdr:row>137</xdr:row>
      <xdr:rowOff>103011</xdr:rowOff>
    </xdr:from>
    <xdr:to>
      <xdr:col>20</xdr:col>
      <xdr:colOff>705555</xdr:colOff>
      <xdr:row>151</xdr:row>
      <xdr:rowOff>80433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4521311-BC32-74F4-9BB6-67881BF0C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296332</xdr:colOff>
      <xdr:row>136</xdr:row>
      <xdr:rowOff>131234</xdr:rowOff>
    </xdr:from>
    <xdr:to>
      <xdr:col>26</xdr:col>
      <xdr:colOff>705555</xdr:colOff>
      <xdr:row>150</xdr:row>
      <xdr:rowOff>108657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7E7A10A-5D3C-5A1F-AB6C-0A93F0B6F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74</xdr:row>
      <xdr:rowOff>0</xdr:rowOff>
    </xdr:from>
    <xdr:to>
      <xdr:col>6</xdr:col>
      <xdr:colOff>488950</xdr:colOff>
      <xdr:row>87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125F2-132C-AAB0-C7F7-F3D1BF342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336550</xdr:colOff>
      <xdr:row>87</xdr:row>
      <xdr:rowOff>190500</xdr:rowOff>
    </xdr:from>
    <xdr:to>
      <xdr:col>6</xdr:col>
      <xdr:colOff>781050</xdr:colOff>
      <xdr:row>101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30FD1-1038-AF70-08A6-42E3C9F58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450850</xdr:colOff>
      <xdr:row>102</xdr:row>
      <xdr:rowOff>101600</xdr:rowOff>
    </xdr:from>
    <xdr:to>
      <xdr:col>7</xdr:col>
      <xdr:colOff>69850</xdr:colOff>
      <xdr:row>116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C5067-DB51-32DF-9AA1-6D2B777E0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6</xdr:col>
      <xdr:colOff>444500</xdr:colOff>
      <xdr:row>130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8D3FDB-389B-C641-98C2-6DC5E06EE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450850</xdr:colOff>
      <xdr:row>45</xdr:row>
      <xdr:rowOff>38100</xdr:rowOff>
    </xdr:from>
    <xdr:to>
      <xdr:col>23</xdr:col>
      <xdr:colOff>69850</xdr:colOff>
      <xdr:row>58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B9BD38-7795-182F-A5B3-7C46F6303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717550</xdr:colOff>
      <xdr:row>58</xdr:row>
      <xdr:rowOff>25400</xdr:rowOff>
    </xdr:from>
    <xdr:to>
      <xdr:col>40</xdr:col>
      <xdr:colOff>336550</xdr:colOff>
      <xdr:row>71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35C980-6DA0-40EA-CD8A-546B1A21A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546100</xdr:colOff>
      <xdr:row>69</xdr:row>
      <xdr:rowOff>184150</xdr:rowOff>
    </xdr:from>
    <xdr:to>
      <xdr:col>23</xdr:col>
      <xdr:colOff>165100</xdr:colOff>
      <xdr:row>83</xdr:row>
      <xdr:rowOff>82550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64E21E-52CB-862D-C8DE-6EA95E410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381000</xdr:colOff>
      <xdr:row>79</xdr:row>
      <xdr:rowOff>6350</xdr:rowOff>
    </xdr:from>
    <xdr:to>
      <xdr:col>23</xdr:col>
      <xdr:colOff>0</xdr:colOff>
      <xdr:row>92</xdr:row>
      <xdr:rowOff>107950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B09E5F-EC0C-7147-3F75-541F688A3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431800</xdr:colOff>
      <xdr:row>96</xdr:row>
      <xdr:rowOff>171450</xdr:rowOff>
    </xdr:from>
    <xdr:to>
      <xdr:col>22</xdr:col>
      <xdr:colOff>50800</xdr:colOff>
      <xdr:row>110</xdr:row>
      <xdr:rowOff>69850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787F8D-EA5A-7D51-9BCB-9E4BAFE51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736600</xdr:colOff>
      <xdr:row>92</xdr:row>
      <xdr:rowOff>158750</xdr:rowOff>
    </xdr:from>
    <xdr:to>
      <xdr:col>32</xdr:col>
      <xdr:colOff>355600</xdr:colOff>
      <xdr:row>106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778F41-C795-ACAA-2E86-8991D54AF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787400</xdr:colOff>
      <xdr:row>79</xdr:row>
      <xdr:rowOff>171450</xdr:rowOff>
    </xdr:from>
    <xdr:to>
      <xdr:col>39</xdr:col>
      <xdr:colOff>406400</xdr:colOff>
      <xdr:row>93</xdr:row>
      <xdr:rowOff>69850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11CF7A-3656-AC11-2960-729CDDE8E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228600</xdr:colOff>
      <xdr:row>70</xdr:row>
      <xdr:rowOff>184150</xdr:rowOff>
    </xdr:from>
    <xdr:to>
      <xdr:col>38</xdr:col>
      <xdr:colOff>673100</xdr:colOff>
      <xdr:row>84</xdr:row>
      <xdr:rowOff>82550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1303481-3274-08DE-6E8E-16C5499EF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84667</xdr:colOff>
      <xdr:row>111</xdr:row>
      <xdr:rowOff>103010</xdr:rowOff>
    </xdr:from>
    <xdr:to>
      <xdr:col>22</xdr:col>
      <xdr:colOff>493889</xdr:colOff>
      <xdr:row>125</xdr:row>
      <xdr:rowOff>80433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15DA11-B108-1184-6919-137C3D28A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84666</xdr:colOff>
      <xdr:row>111</xdr:row>
      <xdr:rowOff>103011</xdr:rowOff>
    </xdr:from>
    <xdr:to>
      <xdr:col>28</xdr:col>
      <xdr:colOff>493888</xdr:colOff>
      <xdr:row>125</xdr:row>
      <xdr:rowOff>80434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400010-87CB-A6F6-A0DE-76FC1684B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98778</xdr:colOff>
      <xdr:row>126</xdr:row>
      <xdr:rowOff>117122</xdr:rowOff>
    </xdr:from>
    <xdr:to>
      <xdr:col>22</xdr:col>
      <xdr:colOff>508000</xdr:colOff>
      <xdr:row>140</xdr:row>
      <xdr:rowOff>94544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48C2509-2A5C-180B-A9F6-92392AF1A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155222</xdr:colOff>
      <xdr:row>126</xdr:row>
      <xdr:rowOff>159455</xdr:rowOff>
    </xdr:from>
    <xdr:to>
      <xdr:col>28</xdr:col>
      <xdr:colOff>564444</xdr:colOff>
      <xdr:row>140</xdr:row>
      <xdr:rowOff>136877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2A7645F-A859-5141-1B54-5C7943BD3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169333</xdr:colOff>
      <xdr:row>142</xdr:row>
      <xdr:rowOff>60678</xdr:rowOff>
    </xdr:from>
    <xdr:to>
      <xdr:col>22</xdr:col>
      <xdr:colOff>578555</xdr:colOff>
      <xdr:row>156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976FA2C-F695-8D50-6E1F-331E9BE04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28222</xdr:colOff>
      <xdr:row>142</xdr:row>
      <xdr:rowOff>60677</xdr:rowOff>
    </xdr:from>
    <xdr:to>
      <xdr:col>28</xdr:col>
      <xdr:colOff>437444</xdr:colOff>
      <xdr:row>156</xdr:row>
      <xdr:rowOff>38099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F723031-7CEA-87C5-F72B-42F8E2578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73</xdr:row>
      <xdr:rowOff>165100</xdr:rowOff>
    </xdr:from>
    <xdr:to>
      <xdr:col>6</xdr:col>
      <xdr:colOff>527050</xdr:colOff>
      <xdr:row>87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5DAA8-616D-00DB-7E62-F5CA4E6F1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6</xdr:col>
      <xdr:colOff>444500</xdr:colOff>
      <xdr:row>102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479FD-DEE5-7F48-AF18-79DDE8CFD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103</xdr:row>
      <xdr:rowOff>0</xdr:rowOff>
    </xdr:from>
    <xdr:to>
      <xdr:col>6</xdr:col>
      <xdr:colOff>444500</xdr:colOff>
      <xdr:row>116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CF853C-81B6-BE4F-BD83-7B3930147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6</xdr:col>
      <xdr:colOff>444500</xdr:colOff>
      <xdr:row>130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54C683-6558-4F4F-A844-6625D02AF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476250</xdr:colOff>
      <xdr:row>56</xdr:row>
      <xdr:rowOff>139700</xdr:rowOff>
    </xdr:from>
    <xdr:to>
      <xdr:col>23</xdr:col>
      <xdr:colOff>95250</xdr:colOff>
      <xdr:row>70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9868EF-1F33-17DE-C228-B14C3BC21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539750</xdr:colOff>
      <xdr:row>59</xdr:row>
      <xdr:rowOff>88900</xdr:rowOff>
    </xdr:from>
    <xdr:to>
      <xdr:col>37</xdr:col>
      <xdr:colOff>158750</xdr:colOff>
      <xdr:row>72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ECEC2D-0A46-2CD7-970C-418B11C90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571500</xdr:colOff>
      <xdr:row>71</xdr:row>
      <xdr:rowOff>82550</xdr:rowOff>
    </xdr:from>
    <xdr:to>
      <xdr:col>23</xdr:col>
      <xdr:colOff>190500</xdr:colOff>
      <xdr:row>84</xdr:row>
      <xdr:rowOff>184150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F10E3E-4134-9E9B-D054-090ED74E6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317500</xdr:colOff>
      <xdr:row>80</xdr:row>
      <xdr:rowOff>120650</xdr:rowOff>
    </xdr:from>
    <xdr:to>
      <xdr:col>22</xdr:col>
      <xdr:colOff>762000</xdr:colOff>
      <xdr:row>94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794CA73-C88B-665A-310A-5E17515A7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546100</xdr:colOff>
      <xdr:row>95</xdr:row>
      <xdr:rowOff>107950</xdr:rowOff>
    </xdr:from>
    <xdr:to>
      <xdr:col>23</xdr:col>
      <xdr:colOff>165100</xdr:colOff>
      <xdr:row>109</xdr:row>
      <xdr:rowOff>6350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9566B8-E5A9-5D3A-1CB6-A02DA7868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685800</xdr:colOff>
      <xdr:row>69</xdr:row>
      <xdr:rowOff>133350</xdr:rowOff>
    </xdr:from>
    <xdr:to>
      <xdr:col>37</xdr:col>
      <xdr:colOff>304800</xdr:colOff>
      <xdr:row>83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74B25E7-7A79-7BC5-1D8C-5311EEEE5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190500</xdr:colOff>
      <xdr:row>89</xdr:row>
      <xdr:rowOff>57150</xdr:rowOff>
    </xdr:from>
    <xdr:to>
      <xdr:col>31</xdr:col>
      <xdr:colOff>635000</xdr:colOff>
      <xdr:row>102</xdr:row>
      <xdr:rowOff>158750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218E7D1-E5A6-EE36-40E9-FE8A6A54D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228600</xdr:colOff>
      <xdr:row>84</xdr:row>
      <xdr:rowOff>6350</xdr:rowOff>
    </xdr:from>
    <xdr:to>
      <xdr:col>37</xdr:col>
      <xdr:colOff>673100</xdr:colOff>
      <xdr:row>97</xdr:row>
      <xdr:rowOff>107950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5B8EB59-3773-D2EE-5351-2D23A962A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56446</xdr:colOff>
      <xdr:row>109</xdr:row>
      <xdr:rowOff>103011</xdr:rowOff>
    </xdr:from>
    <xdr:to>
      <xdr:col>22</xdr:col>
      <xdr:colOff>465668</xdr:colOff>
      <xdr:row>123</xdr:row>
      <xdr:rowOff>80434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152AF6-9EEC-4329-D8C5-205005B4C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84667</xdr:colOff>
      <xdr:row>109</xdr:row>
      <xdr:rowOff>103011</xdr:rowOff>
    </xdr:from>
    <xdr:to>
      <xdr:col>28</xdr:col>
      <xdr:colOff>493889</xdr:colOff>
      <xdr:row>123</xdr:row>
      <xdr:rowOff>80434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CE9631-AC0D-ECEB-A5F9-E7B621FA0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127001</xdr:colOff>
      <xdr:row>123</xdr:row>
      <xdr:rowOff>187678</xdr:rowOff>
    </xdr:from>
    <xdr:to>
      <xdr:col>22</xdr:col>
      <xdr:colOff>536223</xdr:colOff>
      <xdr:row>137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D5FC69-6A25-2094-D193-98E23DEC4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381000</xdr:colOff>
      <xdr:row>123</xdr:row>
      <xdr:rowOff>187678</xdr:rowOff>
    </xdr:from>
    <xdr:to>
      <xdr:col>28</xdr:col>
      <xdr:colOff>790222</xdr:colOff>
      <xdr:row>137</xdr:row>
      <xdr:rowOff>165100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E4EB12A-FA9E-A3AE-8495-4E21E1E72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211668</xdr:colOff>
      <xdr:row>138</xdr:row>
      <xdr:rowOff>159455</xdr:rowOff>
    </xdr:from>
    <xdr:to>
      <xdr:col>22</xdr:col>
      <xdr:colOff>620890</xdr:colOff>
      <xdr:row>152</xdr:row>
      <xdr:rowOff>136878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FFF1BD-7290-81C5-55B3-5FA1CEF6A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324556</xdr:colOff>
      <xdr:row>139</xdr:row>
      <xdr:rowOff>60678</xdr:rowOff>
    </xdr:from>
    <xdr:to>
      <xdr:col>28</xdr:col>
      <xdr:colOff>733778</xdr:colOff>
      <xdr:row>153</xdr:row>
      <xdr:rowOff>38100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706437C-C6F5-4950-CD99-DDD17C7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74</xdr:row>
      <xdr:rowOff>25400</xdr:rowOff>
    </xdr:from>
    <xdr:to>
      <xdr:col>6</xdr:col>
      <xdr:colOff>527050</xdr:colOff>
      <xdr:row>87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66A2B-75A8-93C4-8A9D-109DCDAEF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222250</xdr:colOff>
      <xdr:row>88</xdr:row>
      <xdr:rowOff>190500</xdr:rowOff>
    </xdr:from>
    <xdr:to>
      <xdr:col>6</xdr:col>
      <xdr:colOff>666750</xdr:colOff>
      <xdr:row>102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20C34-95DB-9E17-706F-67A0D1A8D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103</xdr:row>
      <xdr:rowOff>0</xdr:rowOff>
    </xdr:from>
    <xdr:to>
      <xdr:col>6</xdr:col>
      <xdr:colOff>444500</xdr:colOff>
      <xdr:row>116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7DDEE5-93B0-224C-AFC0-F4F68DAEB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118</xdr:row>
      <xdr:rowOff>0</xdr:rowOff>
    </xdr:from>
    <xdr:to>
      <xdr:col>6</xdr:col>
      <xdr:colOff>444500</xdr:colOff>
      <xdr:row>131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9A6FF2-718B-E44B-83A4-7A92719DA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285750</xdr:colOff>
      <xdr:row>41</xdr:row>
      <xdr:rowOff>127000</xdr:rowOff>
    </xdr:from>
    <xdr:to>
      <xdr:col>22</xdr:col>
      <xdr:colOff>730250</xdr:colOff>
      <xdr:row>55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1FC9F9-1E7F-9BC6-AD21-9B98A4488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565150</xdr:colOff>
      <xdr:row>59</xdr:row>
      <xdr:rowOff>63500</xdr:rowOff>
    </xdr:from>
    <xdr:to>
      <xdr:col>38</xdr:col>
      <xdr:colOff>184150</xdr:colOff>
      <xdr:row>72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8D6D3A-528C-F28F-B8F4-6D3197375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812800</xdr:colOff>
      <xdr:row>69</xdr:row>
      <xdr:rowOff>184150</xdr:rowOff>
    </xdr:from>
    <xdr:to>
      <xdr:col>23</xdr:col>
      <xdr:colOff>431800</xdr:colOff>
      <xdr:row>83</xdr:row>
      <xdr:rowOff>82550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EA40E5-0305-E5AE-FEE3-E4E5C4FD9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215900</xdr:colOff>
      <xdr:row>81</xdr:row>
      <xdr:rowOff>31750</xdr:rowOff>
    </xdr:from>
    <xdr:to>
      <xdr:col>23</xdr:col>
      <xdr:colOff>660400</xdr:colOff>
      <xdr:row>94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D96967-FCF0-57CD-9B2D-CA9B27F92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457200</xdr:colOff>
      <xdr:row>97</xdr:row>
      <xdr:rowOff>158750</xdr:rowOff>
    </xdr:from>
    <xdr:to>
      <xdr:col>24</xdr:col>
      <xdr:colOff>76200</xdr:colOff>
      <xdr:row>111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4EA398-3B46-4262-D9E4-D9364CAE9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520700</xdr:colOff>
      <xdr:row>89</xdr:row>
      <xdr:rowOff>171450</xdr:rowOff>
    </xdr:from>
    <xdr:to>
      <xdr:col>31</xdr:col>
      <xdr:colOff>139700</xdr:colOff>
      <xdr:row>103</xdr:row>
      <xdr:rowOff>69850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DEB593E-0C7F-587F-763B-5994C1FFD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241300</xdr:colOff>
      <xdr:row>81</xdr:row>
      <xdr:rowOff>196850</xdr:rowOff>
    </xdr:from>
    <xdr:to>
      <xdr:col>38</xdr:col>
      <xdr:colOff>685800</xdr:colOff>
      <xdr:row>95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4E0A53-C95B-3780-66BD-7C495DC71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203200</xdr:colOff>
      <xdr:row>67</xdr:row>
      <xdr:rowOff>82550</xdr:rowOff>
    </xdr:from>
    <xdr:to>
      <xdr:col>38</xdr:col>
      <xdr:colOff>647700</xdr:colOff>
      <xdr:row>80</xdr:row>
      <xdr:rowOff>184150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6C0FE5-110F-7F66-BDCC-0A6FBF09B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205772</xdr:colOff>
      <xdr:row>131</xdr:row>
      <xdr:rowOff>195805</xdr:rowOff>
    </xdr:from>
    <xdr:to>
      <xdr:col>22</xdr:col>
      <xdr:colOff>678405</xdr:colOff>
      <xdr:row>145</xdr:row>
      <xdr:rowOff>13182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7B9540-8BFB-73D5-6972-3A95C4AAB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197735</xdr:colOff>
      <xdr:row>132</xdr:row>
      <xdr:rowOff>2895</xdr:rowOff>
    </xdr:from>
    <xdr:to>
      <xdr:col>28</xdr:col>
      <xdr:colOff>670368</xdr:colOff>
      <xdr:row>145</xdr:row>
      <xdr:rowOff>29259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DF89D7-C004-D5E4-FED5-AF46371F2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310266</xdr:colOff>
      <xdr:row>145</xdr:row>
      <xdr:rowOff>179729</xdr:rowOff>
    </xdr:from>
    <xdr:to>
      <xdr:col>22</xdr:col>
      <xdr:colOff>782899</xdr:colOff>
      <xdr:row>158</xdr:row>
      <xdr:rowOff>206094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FFED069-2B08-954B-8E47-289BB9FE7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229886</xdr:colOff>
      <xdr:row>146</xdr:row>
      <xdr:rowOff>18970</xdr:rowOff>
    </xdr:from>
    <xdr:to>
      <xdr:col>28</xdr:col>
      <xdr:colOff>702519</xdr:colOff>
      <xdr:row>159</xdr:row>
      <xdr:rowOff>45335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52B7EBB-0883-3DB7-216A-E2C18C189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406722</xdr:colOff>
      <xdr:row>159</xdr:row>
      <xdr:rowOff>147578</xdr:rowOff>
    </xdr:from>
    <xdr:to>
      <xdr:col>23</xdr:col>
      <xdr:colOff>59481</xdr:colOff>
      <xdr:row>172</xdr:row>
      <xdr:rowOff>173942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BF4748F-1CA6-9482-7B4A-DA8DF943C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310266</xdr:colOff>
      <xdr:row>159</xdr:row>
      <xdr:rowOff>147578</xdr:rowOff>
    </xdr:from>
    <xdr:to>
      <xdr:col>28</xdr:col>
      <xdr:colOff>782899</xdr:colOff>
      <xdr:row>172</xdr:row>
      <xdr:rowOff>173942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0A4A626-0F87-AA13-0F45-C3B7709F7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13</xdr:row>
      <xdr:rowOff>152400</xdr:rowOff>
    </xdr:from>
    <xdr:to>
      <xdr:col>6</xdr:col>
      <xdr:colOff>584200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2B3D3-0098-46FC-E8DD-7A32F708C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393700</xdr:colOff>
      <xdr:row>15</xdr:row>
      <xdr:rowOff>50800</xdr:rowOff>
    </xdr:from>
    <xdr:to>
      <xdr:col>13</xdr:col>
      <xdr:colOff>152400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EC1997-18A9-67D9-4DC5-F13B35062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800100</xdr:colOff>
      <xdr:row>6</xdr:row>
      <xdr:rowOff>146050</xdr:rowOff>
    </xdr:from>
    <xdr:to>
      <xdr:col>21</xdr:col>
      <xdr:colOff>558800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504DC-E665-504D-6657-667A55B76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254000</xdr:colOff>
      <xdr:row>24</xdr:row>
      <xdr:rowOff>196850</xdr:rowOff>
    </xdr:from>
    <xdr:to>
      <xdr:col>21</xdr:col>
      <xdr:colOff>330200</xdr:colOff>
      <xdr:row>42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319F1-CC6F-4AC7-74BA-122797FC5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43</xdr:row>
      <xdr:rowOff>184150</xdr:rowOff>
    </xdr:from>
    <xdr:to>
      <xdr:col>22</xdr:col>
      <xdr:colOff>723900</xdr:colOff>
      <xdr:row>57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0991F5-DA11-CA06-F334-5F5C1FE54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495300</xdr:colOff>
      <xdr:row>59</xdr:row>
      <xdr:rowOff>107950</xdr:rowOff>
    </xdr:from>
    <xdr:to>
      <xdr:col>22</xdr:col>
      <xdr:colOff>711200</xdr:colOff>
      <xdr:row>73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DD5DB2-EDA9-9DB1-8C1A-5BCFB28FE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228600</xdr:colOff>
      <xdr:row>76</xdr:row>
      <xdr:rowOff>19050</xdr:rowOff>
    </xdr:from>
    <xdr:to>
      <xdr:col>23</xdr:col>
      <xdr:colOff>368300</xdr:colOff>
      <xdr:row>89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6E54A5-875A-0023-5131-4160D786E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1.xml><?xml version="1.0" encoding="utf-8"?>
<a:themeOverride xmlns:a="http://schemas.openxmlformats.org/drawingml/2006/main">
  <a:clrScheme name="Lapin 1">
    <a:dk1>
      <a:srgbClr val="181842"/>
    </a:dk1>
    <a:lt1>
      <a:srgbClr val="FEFFFE"/>
    </a:lt1>
    <a:dk2>
      <a:srgbClr val="8A9097"/>
    </a:dk2>
    <a:lt2>
      <a:srgbClr val="F7F5F1"/>
    </a:lt2>
    <a:accent1>
      <a:srgbClr val="3C78E6"/>
    </a:accent1>
    <a:accent2>
      <a:srgbClr val="82AAF8"/>
    </a:accent2>
    <a:accent3>
      <a:srgbClr val="32337E"/>
    </a:accent3>
    <a:accent4>
      <a:srgbClr val="D1DBEF"/>
    </a:accent4>
    <a:accent5>
      <a:srgbClr val="CFD2D6"/>
    </a:accent5>
    <a:accent6>
      <a:srgbClr val="8A9097"/>
    </a:accent6>
    <a:hlink>
      <a:srgbClr val="8A9097"/>
    </a:hlink>
    <a:folHlink>
      <a:srgbClr val="3C78E6"/>
    </a:folHlink>
  </a:clrScheme>
  <a:fontScheme name="Office Them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Them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2.xml><?xml version="1.0" encoding="utf-8"?>
<a:themeOverride xmlns:a="http://schemas.openxmlformats.org/drawingml/2006/main">
  <a:clrScheme name="Lapin 1">
    <a:dk1>
      <a:srgbClr val="181842"/>
    </a:dk1>
    <a:lt1>
      <a:srgbClr val="FEFFFE"/>
    </a:lt1>
    <a:dk2>
      <a:srgbClr val="8A9097"/>
    </a:dk2>
    <a:lt2>
      <a:srgbClr val="F7F5F1"/>
    </a:lt2>
    <a:accent1>
      <a:srgbClr val="3C78E6"/>
    </a:accent1>
    <a:accent2>
      <a:srgbClr val="82AAF8"/>
    </a:accent2>
    <a:accent3>
      <a:srgbClr val="32337E"/>
    </a:accent3>
    <a:accent4>
      <a:srgbClr val="D1DBEF"/>
    </a:accent4>
    <a:accent5>
      <a:srgbClr val="CFD2D6"/>
    </a:accent5>
    <a:accent6>
      <a:srgbClr val="8A9097"/>
    </a:accent6>
    <a:hlink>
      <a:srgbClr val="8A9097"/>
    </a:hlink>
    <a:folHlink>
      <a:srgbClr val="3C78E6"/>
    </a:folHlink>
  </a:clrScheme>
  <a:fontScheme name="Office Them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Them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workbookViewId="0">
      <selection activeCell="J16" sqref="J16"/>
    </sheetView>
  </sheetViews>
  <sheetFormatPr baseColWidth="10" defaultRowHeight="16" x14ac:dyDescent="0.2"/>
  <sheetData>
    <row r="1" spans="1:31" x14ac:dyDescent="0.2">
      <c r="A1" s="2" t="s">
        <v>34</v>
      </c>
      <c r="B1" s="2" t="s">
        <v>35</v>
      </c>
      <c r="C1" s="2" t="s">
        <v>36</v>
      </c>
      <c r="D1" s="2" t="s">
        <v>36</v>
      </c>
      <c r="E1" s="2" t="s">
        <v>37</v>
      </c>
      <c r="F1" s="2" t="s">
        <v>38</v>
      </c>
      <c r="G1" s="2" t="s">
        <v>36</v>
      </c>
      <c r="H1" s="2" t="s">
        <v>39</v>
      </c>
      <c r="I1" s="2" t="s">
        <v>39</v>
      </c>
      <c r="J1" s="2" t="s">
        <v>38</v>
      </c>
      <c r="K1" s="2" t="s">
        <v>36</v>
      </c>
      <c r="L1" s="2" t="s">
        <v>35</v>
      </c>
      <c r="M1" s="2" t="s">
        <v>37</v>
      </c>
      <c r="N1" s="2" t="s">
        <v>37</v>
      </c>
      <c r="O1" s="2" t="s">
        <v>39</v>
      </c>
      <c r="P1" s="2" t="s">
        <v>35</v>
      </c>
      <c r="Q1" s="2" t="s">
        <v>39</v>
      </c>
      <c r="R1" s="2" t="s">
        <v>35</v>
      </c>
      <c r="S1" s="2" t="s">
        <v>37</v>
      </c>
      <c r="T1" s="2" t="s">
        <v>39</v>
      </c>
      <c r="U1" s="2" t="s">
        <v>36</v>
      </c>
      <c r="V1" s="2" t="s">
        <v>35</v>
      </c>
      <c r="W1" s="2" t="s">
        <v>38</v>
      </c>
      <c r="X1" s="2" t="s">
        <v>37</v>
      </c>
      <c r="Y1" s="2" t="s">
        <v>35</v>
      </c>
      <c r="Z1" s="2" t="s">
        <v>37</v>
      </c>
      <c r="AA1" s="2" t="s">
        <v>36</v>
      </c>
      <c r="AB1" s="2" t="s">
        <v>38</v>
      </c>
      <c r="AC1" s="2" t="s">
        <v>38</v>
      </c>
      <c r="AD1" s="2" t="s">
        <v>39</v>
      </c>
      <c r="AE1" s="2" t="s">
        <v>38</v>
      </c>
    </row>
    <row r="2" spans="1:3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2">
      <c r="A3" s="1" t="s">
        <v>33</v>
      </c>
      <c r="B3">
        <v>4</v>
      </c>
      <c r="C3">
        <v>5</v>
      </c>
      <c r="D3">
        <v>5</v>
      </c>
      <c r="E3">
        <v>4</v>
      </c>
      <c r="F3">
        <v>4</v>
      </c>
      <c r="G3">
        <v>4</v>
      </c>
      <c r="H3">
        <v>4</v>
      </c>
      <c r="I3">
        <v>5</v>
      </c>
      <c r="J3">
        <v>4</v>
      </c>
      <c r="K3">
        <v>4</v>
      </c>
      <c r="L3">
        <v>5</v>
      </c>
      <c r="M3">
        <v>4</v>
      </c>
      <c r="N3">
        <v>4</v>
      </c>
      <c r="O3">
        <v>3</v>
      </c>
      <c r="P3">
        <v>4</v>
      </c>
      <c r="Q3">
        <v>4</v>
      </c>
      <c r="R3">
        <v>4</v>
      </c>
      <c r="S3">
        <v>4</v>
      </c>
      <c r="T3">
        <v>3</v>
      </c>
      <c r="U3">
        <v>5</v>
      </c>
      <c r="V3">
        <v>4</v>
      </c>
      <c r="W3">
        <v>5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</row>
    <row r="4" spans="1:31" x14ac:dyDescent="0.2">
      <c r="A4" t="s">
        <v>32</v>
      </c>
      <c r="B4">
        <v>4</v>
      </c>
      <c r="C4">
        <v>5</v>
      </c>
      <c r="D4">
        <v>4</v>
      </c>
      <c r="E4">
        <v>4</v>
      </c>
      <c r="F4">
        <v>4</v>
      </c>
      <c r="G4">
        <v>5</v>
      </c>
      <c r="H4">
        <v>4</v>
      </c>
      <c r="I4">
        <v>5</v>
      </c>
      <c r="J4">
        <v>5</v>
      </c>
      <c r="K4">
        <v>4</v>
      </c>
      <c r="L4">
        <v>5</v>
      </c>
      <c r="M4">
        <v>5</v>
      </c>
      <c r="N4">
        <v>4</v>
      </c>
      <c r="O4">
        <v>4</v>
      </c>
      <c r="P4">
        <v>3</v>
      </c>
      <c r="Q4">
        <v>4</v>
      </c>
      <c r="R4">
        <v>5</v>
      </c>
      <c r="S4">
        <v>4</v>
      </c>
      <c r="T4">
        <v>4</v>
      </c>
      <c r="U4">
        <v>4</v>
      </c>
      <c r="V4">
        <v>4</v>
      </c>
      <c r="W4">
        <v>5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5</v>
      </c>
      <c r="AE4">
        <v>5</v>
      </c>
    </row>
    <row r="5" spans="1:31" x14ac:dyDescent="0.2">
      <c r="A5" t="s">
        <v>32</v>
      </c>
      <c r="B5">
        <v>5</v>
      </c>
      <c r="C5">
        <v>5</v>
      </c>
      <c r="D5">
        <v>4</v>
      </c>
      <c r="E5">
        <v>4</v>
      </c>
      <c r="F5">
        <v>4</v>
      </c>
      <c r="G5">
        <v>3</v>
      </c>
      <c r="H5">
        <v>4</v>
      </c>
      <c r="I5">
        <v>3</v>
      </c>
      <c r="J5">
        <v>4</v>
      </c>
      <c r="K5">
        <v>3</v>
      </c>
      <c r="L5">
        <v>4</v>
      </c>
      <c r="M5">
        <v>3</v>
      </c>
      <c r="N5">
        <v>4</v>
      </c>
      <c r="O5">
        <v>4</v>
      </c>
      <c r="P5">
        <v>3</v>
      </c>
      <c r="Q5">
        <v>4</v>
      </c>
      <c r="R5">
        <v>4</v>
      </c>
      <c r="S5">
        <v>2</v>
      </c>
      <c r="T5">
        <v>4</v>
      </c>
      <c r="U5">
        <v>4</v>
      </c>
      <c r="V5">
        <v>3</v>
      </c>
      <c r="W5">
        <v>5</v>
      </c>
      <c r="X5">
        <v>5</v>
      </c>
      <c r="Y5">
        <v>3</v>
      </c>
      <c r="Z5">
        <v>3</v>
      </c>
      <c r="AA5">
        <v>4</v>
      </c>
      <c r="AB5">
        <v>3</v>
      </c>
      <c r="AC5">
        <v>3</v>
      </c>
      <c r="AD5">
        <v>4</v>
      </c>
      <c r="AE5">
        <v>5</v>
      </c>
    </row>
    <row r="6" spans="1:31" x14ac:dyDescent="0.2">
      <c r="A6" t="s">
        <v>32</v>
      </c>
      <c r="B6">
        <v>4</v>
      </c>
      <c r="C6">
        <v>5</v>
      </c>
      <c r="D6">
        <v>5</v>
      </c>
      <c r="E6">
        <v>4</v>
      </c>
      <c r="F6">
        <v>4</v>
      </c>
      <c r="G6">
        <v>4</v>
      </c>
      <c r="H6">
        <v>3</v>
      </c>
      <c r="I6">
        <v>4</v>
      </c>
      <c r="J6">
        <v>3</v>
      </c>
      <c r="K6">
        <v>3</v>
      </c>
      <c r="L6">
        <v>4</v>
      </c>
      <c r="M6">
        <v>4</v>
      </c>
      <c r="N6">
        <v>4</v>
      </c>
      <c r="O6">
        <v>4</v>
      </c>
      <c r="P6">
        <v>3</v>
      </c>
      <c r="Q6">
        <v>3</v>
      </c>
      <c r="R6">
        <v>4</v>
      </c>
      <c r="S6">
        <v>3</v>
      </c>
      <c r="T6">
        <v>4</v>
      </c>
      <c r="U6">
        <v>4</v>
      </c>
      <c r="V6">
        <v>3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5</v>
      </c>
    </row>
    <row r="7" spans="1:31" x14ac:dyDescent="0.2">
      <c r="A7" t="s">
        <v>32</v>
      </c>
      <c r="B7">
        <v>4</v>
      </c>
      <c r="C7">
        <v>5</v>
      </c>
      <c r="D7">
        <v>4</v>
      </c>
      <c r="E7">
        <v>4</v>
      </c>
      <c r="F7">
        <v>3</v>
      </c>
      <c r="G7">
        <v>4</v>
      </c>
      <c r="H7">
        <v>1</v>
      </c>
      <c r="I7">
        <v>4</v>
      </c>
      <c r="J7">
        <v>2</v>
      </c>
      <c r="K7">
        <v>4</v>
      </c>
      <c r="L7">
        <v>4</v>
      </c>
      <c r="M7">
        <v>3</v>
      </c>
      <c r="N7">
        <v>2</v>
      </c>
      <c r="O7">
        <v>3</v>
      </c>
      <c r="P7">
        <v>3</v>
      </c>
      <c r="Q7">
        <v>3</v>
      </c>
      <c r="R7">
        <v>5</v>
      </c>
      <c r="S7">
        <v>2</v>
      </c>
      <c r="T7">
        <v>4</v>
      </c>
      <c r="U7">
        <v>4</v>
      </c>
      <c r="V7">
        <v>3</v>
      </c>
      <c r="W7">
        <v>4</v>
      </c>
      <c r="X7">
        <v>3</v>
      </c>
      <c r="Y7">
        <v>3</v>
      </c>
      <c r="Z7">
        <v>4</v>
      </c>
      <c r="AA7">
        <v>4</v>
      </c>
      <c r="AB7">
        <v>4</v>
      </c>
      <c r="AC7">
        <v>3</v>
      </c>
      <c r="AD7">
        <v>5</v>
      </c>
      <c r="AE7">
        <v>5</v>
      </c>
    </row>
    <row r="8" spans="1:31" x14ac:dyDescent="0.2">
      <c r="A8" t="s">
        <v>32</v>
      </c>
      <c r="B8">
        <v>4</v>
      </c>
      <c r="C8">
        <v>4</v>
      </c>
      <c r="D8">
        <v>3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3</v>
      </c>
      <c r="P8">
        <v>4</v>
      </c>
      <c r="Q8">
        <v>4</v>
      </c>
      <c r="R8">
        <v>5</v>
      </c>
      <c r="S8">
        <v>4</v>
      </c>
      <c r="T8">
        <v>3</v>
      </c>
      <c r="U8">
        <v>4</v>
      </c>
      <c r="V8">
        <v>3</v>
      </c>
      <c r="W8">
        <v>4</v>
      </c>
      <c r="X8">
        <v>4</v>
      </c>
      <c r="Y8">
        <v>5</v>
      </c>
      <c r="Z8">
        <v>4</v>
      </c>
      <c r="AA8">
        <v>4</v>
      </c>
      <c r="AB8">
        <v>4</v>
      </c>
      <c r="AC8">
        <v>4</v>
      </c>
      <c r="AD8">
        <v>3</v>
      </c>
      <c r="AE8">
        <v>4</v>
      </c>
    </row>
    <row r="9" spans="1:31" x14ac:dyDescent="0.2">
      <c r="A9" t="s">
        <v>32</v>
      </c>
      <c r="B9">
        <v>4</v>
      </c>
      <c r="C9">
        <v>4</v>
      </c>
      <c r="D9">
        <v>3</v>
      </c>
      <c r="E9">
        <v>3</v>
      </c>
      <c r="F9">
        <v>3</v>
      </c>
      <c r="G9">
        <v>4</v>
      </c>
      <c r="H9">
        <v>4</v>
      </c>
      <c r="I9">
        <v>2</v>
      </c>
      <c r="J9">
        <v>4</v>
      </c>
      <c r="K9">
        <v>4</v>
      </c>
      <c r="L9">
        <v>4</v>
      </c>
      <c r="M9">
        <v>4</v>
      </c>
      <c r="N9">
        <v>4</v>
      </c>
      <c r="O9">
        <v>2</v>
      </c>
      <c r="P9">
        <v>3</v>
      </c>
      <c r="Q9">
        <v>3</v>
      </c>
      <c r="R9">
        <v>5</v>
      </c>
      <c r="S9">
        <v>3</v>
      </c>
      <c r="T9">
        <v>3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3</v>
      </c>
      <c r="AD9">
        <v>3</v>
      </c>
      <c r="AE9">
        <v>4</v>
      </c>
    </row>
    <row r="10" spans="1:31" x14ac:dyDescent="0.2">
      <c r="A10" t="s">
        <v>32</v>
      </c>
      <c r="B10">
        <v>4</v>
      </c>
      <c r="C10">
        <v>4</v>
      </c>
      <c r="D10">
        <v>3</v>
      </c>
      <c r="E10">
        <v>3</v>
      </c>
      <c r="F10">
        <v>4</v>
      </c>
      <c r="G10">
        <v>2</v>
      </c>
      <c r="H10">
        <v>4</v>
      </c>
      <c r="I10">
        <v>3</v>
      </c>
      <c r="J10">
        <v>2</v>
      </c>
      <c r="K10">
        <v>3</v>
      </c>
      <c r="L10">
        <v>4</v>
      </c>
      <c r="M10">
        <v>4</v>
      </c>
      <c r="N10">
        <v>2</v>
      </c>
      <c r="O10">
        <v>4</v>
      </c>
      <c r="P10">
        <v>3</v>
      </c>
      <c r="Q10">
        <v>4</v>
      </c>
      <c r="R10">
        <v>4</v>
      </c>
      <c r="S10">
        <v>1</v>
      </c>
      <c r="T10">
        <v>4</v>
      </c>
      <c r="U10">
        <v>4</v>
      </c>
      <c r="V10">
        <v>2</v>
      </c>
      <c r="W10">
        <v>4</v>
      </c>
      <c r="X10">
        <v>3</v>
      </c>
      <c r="Y10">
        <v>5</v>
      </c>
      <c r="Z10">
        <v>4</v>
      </c>
      <c r="AA10">
        <v>3</v>
      </c>
      <c r="AB10">
        <v>3</v>
      </c>
      <c r="AC10">
        <v>3</v>
      </c>
      <c r="AD10">
        <v>4</v>
      </c>
      <c r="AE10">
        <v>4</v>
      </c>
    </row>
    <row r="11" spans="1:31" x14ac:dyDescent="0.2">
      <c r="A11" t="s">
        <v>32</v>
      </c>
      <c r="B11">
        <v>5</v>
      </c>
      <c r="C11">
        <v>5</v>
      </c>
      <c r="D11">
        <v>5</v>
      </c>
      <c r="E11">
        <v>4</v>
      </c>
      <c r="F11">
        <v>4</v>
      </c>
      <c r="G11">
        <v>5</v>
      </c>
      <c r="H11">
        <v>5</v>
      </c>
      <c r="I11">
        <v>4</v>
      </c>
      <c r="J11">
        <v>4</v>
      </c>
      <c r="K11">
        <v>5</v>
      </c>
      <c r="L11">
        <v>5</v>
      </c>
      <c r="M11">
        <v>5</v>
      </c>
      <c r="N11">
        <v>5</v>
      </c>
      <c r="O11">
        <v>4</v>
      </c>
      <c r="P11">
        <v>4</v>
      </c>
      <c r="Q11">
        <v>4</v>
      </c>
      <c r="R11">
        <v>5</v>
      </c>
      <c r="S11">
        <v>5</v>
      </c>
      <c r="T11">
        <v>5</v>
      </c>
      <c r="U11">
        <v>5</v>
      </c>
      <c r="V11">
        <v>3</v>
      </c>
      <c r="W11">
        <v>5</v>
      </c>
      <c r="X11">
        <v>5</v>
      </c>
      <c r="Y11">
        <v>5</v>
      </c>
      <c r="Z11">
        <v>4</v>
      </c>
      <c r="AA11">
        <v>5</v>
      </c>
      <c r="AB11">
        <v>5</v>
      </c>
      <c r="AC11">
        <v>5</v>
      </c>
      <c r="AD11">
        <v>5</v>
      </c>
      <c r="AE11">
        <v>5</v>
      </c>
    </row>
    <row r="12" spans="1:31" x14ac:dyDescent="0.2">
      <c r="A12" t="s">
        <v>32</v>
      </c>
      <c r="B12">
        <v>4</v>
      </c>
      <c r="C12">
        <v>5</v>
      </c>
      <c r="D12">
        <v>3</v>
      </c>
      <c r="E12">
        <v>3</v>
      </c>
      <c r="F12">
        <v>3</v>
      </c>
      <c r="G12">
        <v>4</v>
      </c>
      <c r="H12">
        <v>4</v>
      </c>
      <c r="I12">
        <v>4</v>
      </c>
      <c r="J12">
        <v>3</v>
      </c>
      <c r="K12">
        <v>4</v>
      </c>
      <c r="L12">
        <v>5</v>
      </c>
      <c r="M12">
        <v>3</v>
      </c>
      <c r="N12">
        <v>4</v>
      </c>
      <c r="O12">
        <v>3</v>
      </c>
      <c r="P12">
        <v>3</v>
      </c>
      <c r="Q12">
        <v>4</v>
      </c>
      <c r="R12">
        <v>5</v>
      </c>
      <c r="S12">
        <v>3</v>
      </c>
      <c r="T12">
        <v>4</v>
      </c>
      <c r="U12">
        <v>3</v>
      </c>
      <c r="V12">
        <v>4</v>
      </c>
      <c r="W12">
        <v>4</v>
      </c>
      <c r="X12">
        <v>4</v>
      </c>
      <c r="Y12">
        <v>4</v>
      </c>
      <c r="Z12">
        <v>4</v>
      </c>
      <c r="AA12">
        <v>3</v>
      </c>
      <c r="AB12">
        <v>4</v>
      </c>
      <c r="AC12">
        <v>2</v>
      </c>
      <c r="AD12">
        <v>4</v>
      </c>
      <c r="AE12">
        <v>5</v>
      </c>
    </row>
    <row r="13" spans="1:31" x14ac:dyDescent="0.2">
      <c r="A13" t="s">
        <v>32</v>
      </c>
      <c r="B13">
        <v>4</v>
      </c>
      <c r="C13">
        <v>4</v>
      </c>
      <c r="D13">
        <v>3</v>
      </c>
      <c r="E13">
        <v>4</v>
      </c>
      <c r="F13">
        <v>4</v>
      </c>
      <c r="G13">
        <v>4</v>
      </c>
      <c r="H13">
        <v>4</v>
      </c>
      <c r="I13">
        <v>5</v>
      </c>
      <c r="J13">
        <v>4</v>
      </c>
      <c r="K13">
        <v>4</v>
      </c>
      <c r="L13">
        <v>5</v>
      </c>
      <c r="M13">
        <v>4</v>
      </c>
      <c r="N13">
        <v>3</v>
      </c>
      <c r="O13">
        <v>3</v>
      </c>
      <c r="P13">
        <v>3</v>
      </c>
      <c r="Q13">
        <v>4</v>
      </c>
      <c r="R13">
        <v>5</v>
      </c>
      <c r="S13">
        <v>3</v>
      </c>
      <c r="T13">
        <v>3</v>
      </c>
      <c r="U13">
        <v>4</v>
      </c>
      <c r="V13">
        <v>3</v>
      </c>
      <c r="W13">
        <v>4</v>
      </c>
      <c r="X13">
        <v>4</v>
      </c>
      <c r="Y13">
        <v>5</v>
      </c>
      <c r="Z13">
        <v>3</v>
      </c>
      <c r="AA13">
        <v>4</v>
      </c>
      <c r="AB13">
        <v>4</v>
      </c>
      <c r="AC13">
        <v>4</v>
      </c>
      <c r="AD13">
        <v>3</v>
      </c>
      <c r="AE13">
        <v>4</v>
      </c>
    </row>
    <row r="14" spans="1:31" x14ac:dyDescent="0.2">
      <c r="A14" t="s">
        <v>32</v>
      </c>
      <c r="B14">
        <v>3</v>
      </c>
      <c r="C14">
        <v>5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4</v>
      </c>
      <c r="M14">
        <v>3</v>
      </c>
      <c r="N14">
        <v>4</v>
      </c>
      <c r="O14">
        <v>3</v>
      </c>
      <c r="P14">
        <v>3</v>
      </c>
      <c r="Q14">
        <v>4</v>
      </c>
      <c r="R14">
        <v>5</v>
      </c>
      <c r="S14">
        <v>2</v>
      </c>
      <c r="T14">
        <v>3</v>
      </c>
      <c r="U14">
        <v>3</v>
      </c>
      <c r="V14">
        <v>4</v>
      </c>
      <c r="W14">
        <v>3</v>
      </c>
      <c r="X14">
        <v>4</v>
      </c>
      <c r="Y14">
        <v>4</v>
      </c>
      <c r="Z14">
        <v>3</v>
      </c>
      <c r="AA14">
        <v>3</v>
      </c>
      <c r="AB14">
        <v>3</v>
      </c>
      <c r="AC14">
        <v>4</v>
      </c>
      <c r="AD14">
        <v>5</v>
      </c>
      <c r="AE14">
        <v>4</v>
      </c>
    </row>
    <row r="15" spans="1:31" x14ac:dyDescent="0.2">
      <c r="A15" t="s">
        <v>33</v>
      </c>
      <c r="B15">
        <v>5</v>
      </c>
      <c r="C15">
        <v>5</v>
      </c>
      <c r="D15">
        <v>4</v>
      </c>
      <c r="E15">
        <v>5</v>
      </c>
      <c r="F15">
        <v>5</v>
      </c>
      <c r="G15">
        <v>4</v>
      </c>
      <c r="H15">
        <v>5</v>
      </c>
      <c r="I15">
        <v>5</v>
      </c>
      <c r="J15">
        <v>4</v>
      </c>
      <c r="K15">
        <v>5</v>
      </c>
      <c r="L15">
        <v>5</v>
      </c>
      <c r="M15">
        <v>5</v>
      </c>
      <c r="N15">
        <v>4</v>
      </c>
      <c r="O15">
        <v>4</v>
      </c>
      <c r="P15">
        <v>5</v>
      </c>
      <c r="Q15">
        <v>4</v>
      </c>
      <c r="R15">
        <v>5</v>
      </c>
      <c r="S15">
        <v>3</v>
      </c>
      <c r="T15">
        <v>4</v>
      </c>
      <c r="U15">
        <v>5</v>
      </c>
      <c r="V15">
        <v>4</v>
      </c>
      <c r="W15">
        <v>5</v>
      </c>
      <c r="X15">
        <v>5</v>
      </c>
      <c r="Y15">
        <v>4</v>
      </c>
      <c r="Z15">
        <v>4</v>
      </c>
      <c r="AA15">
        <v>4</v>
      </c>
      <c r="AB15">
        <v>5</v>
      </c>
      <c r="AC15">
        <v>4</v>
      </c>
      <c r="AD15">
        <v>4</v>
      </c>
      <c r="AE15">
        <v>5</v>
      </c>
    </row>
    <row r="16" spans="1:31" x14ac:dyDescent="0.2">
      <c r="A16" t="s">
        <v>33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3</v>
      </c>
      <c r="O16">
        <v>3</v>
      </c>
      <c r="P16">
        <v>3</v>
      </c>
      <c r="Q16">
        <v>4</v>
      </c>
      <c r="R16">
        <v>4</v>
      </c>
      <c r="S16">
        <v>4</v>
      </c>
      <c r="T16">
        <v>3</v>
      </c>
      <c r="U16">
        <v>4</v>
      </c>
      <c r="V16">
        <v>3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3</v>
      </c>
      <c r="AD16">
        <v>4</v>
      </c>
      <c r="AE16">
        <v>4</v>
      </c>
    </row>
    <row r="17" spans="1:31" x14ac:dyDescent="0.2">
      <c r="A17" t="s">
        <v>33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4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</row>
    <row r="18" spans="1:31" x14ac:dyDescent="0.2">
      <c r="A18" t="s">
        <v>33</v>
      </c>
      <c r="B18">
        <v>4</v>
      </c>
      <c r="C18">
        <v>4</v>
      </c>
      <c r="D18">
        <v>4</v>
      </c>
      <c r="E18">
        <v>3</v>
      </c>
      <c r="F18">
        <v>3</v>
      </c>
      <c r="G18">
        <v>4</v>
      </c>
      <c r="H18">
        <v>4</v>
      </c>
      <c r="I18">
        <v>5</v>
      </c>
      <c r="J18">
        <v>3</v>
      </c>
      <c r="K18">
        <v>3</v>
      </c>
      <c r="L18">
        <v>3</v>
      </c>
      <c r="M18">
        <v>4</v>
      </c>
      <c r="N18">
        <v>3</v>
      </c>
      <c r="O18">
        <v>4</v>
      </c>
      <c r="P18">
        <v>4</v>
      </c>
      <c r="Q18">
        <v>3</v>
      </c>
      <c r="R18">
        <v>5</v>
      </c>
      <c r="S18">
        <v>2</v>
      </c>
      <c r="T18">
        <v>3</v>
      </c>
      <c r="U18">
        <v>4</v>
      </c>
      <c r="V18">
        <v>4</v>
      </c>
      <c r="W18">
        <v>4</v>
      </c>
      <c r="X18">
        <v>4</v>
      </c>
      <c r="Y18">
        <v>3</v>
      </c>
      <c r="Z18">
        <v>4</v>
      </c>
      <c r="AA18">
        <v>4</v>
      </c>
      <c r="AB18">
        <v>3</v>
      </c>
      <c r="AC18">
        <v>3</v>
      </c>
      <c r="AD18">
        <v>5</v>
      </c>
      <c r="AE18">
        <v>4</v>
      </c>
    </row>
    <row r="19" spans="1:31" x14ac:dyDescent="0.2">
      <c r="A19" t="s">
        <v>33</v>
      </c>
      <c r="B19">
        <v>4</v>
      </c>
      <c r="C19">
        <v>5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3</v>
      </c>
      <c r="K19">
        <v>3</v>
      </c>
      <c r="L19">
        <v>4</v>
      </c>
      <c r="M19">
        <v>4</v>
      </c>
      <c r="N19">
        <v>4</v>
      </c>
      <c r="O19">
        <v>3</v>
      </c>
      <c r="P19">
        <v>3</v>
      </c>
      <c r="Q19">
        <v>3</v>
      </c>
      <c r="R19">
        <v>5</v>
      </c>
      <c r="S19">
        <v>3</v>
      </c>
      <c r="T19">
        <v>3</v>
      </c>
      <c r="U19">
        <v>4</v>
      </c>
      <c r="V19">
        <v>2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3</v>
      </c>
      <c r="AE19">
        <v>4</v>
      </c>
    </row>
    <row r="20" spans="1:31" x14ac:dyDescent="0.2">
      <c r="A20" t="s">
        <v>33</v>
      </c>
      <c r="B20">
        <v>5</v>
      </c>
      <c r="C20">
        <v>4</v>
      </c>
      <c r="D20">
        <v>4</v>
      </c>
      <c r="E20">
        <v>4</v>
      </c>
      <c r="F20">
        <v>4</v>
      </c>
      <c r="G20">
        <v>3</v>
      </c>
      <c r="H20">
        <v>4</v>
      </c>
      <c r="I20">
        <v>4</v>
      </c>
      <c r="J20">
        <v>2</v>
      </c>
      <c r="K20">
        <v>2</v>
      </c>
      <c r="L20">
        <v>3</v>
      </c>
      <c r="M20">
        <v>4</v>
      </c>
      <c r="N20">
        <v>2</v>
      </c>
      <c r="O20">
        <v>2</v>
      </c>
      <c r="P20">
        <v>3</v>
      </c>
      <c r="Q20">
        <v>3</v>
      </c>
      <c r="R20">
        <v>4</v>
      </c>
      <c r="S20">
        <v>2</v>
      </c>
      <c r="T20">
        <v>3</v>
      </c>
      <c r="U20">
        <v>3</v>
      </c>
      <c r="V20">
        <v>3</v>
      </c>
      <c r="W20">
        <v>4</v>
      </c>
      <c r="X20">
        <v>4</v>
      </c>
      <c r="Y20">
        <v>3</v>
      </c>
      <c r="Z20">
        <v>2</v>
      </c>
      <c r="AA20">
        <v>3</v>
      </c>
      <c r="AB20">
        <v>4</v>
      </c>
      <c r="AC20">
        <v>3</v>
      </c>
      <c r="AD20">
        <v>3</v>
      </c>
      <c r="AE20">
        <v>4</v>
      </c>
    </row>
    <row r="21" spans="1:31" x14ac:dyDescent="0.2">
      <c r="A21" t="s">
        <v>33</v>
      </c>
      <c r="B21">
        <v>5</v>
      </c>
      <c r="C21">
        <v>5</v>
      </c>
      <c r="D21">
        <v>3</v>
      </c>
      <c r="E21">
        <v>2</v>
      </c>
      <c r="F21">
        <v>4</v>
      </c>
      <c r="G21">
        <v>4</v>
      </c>
      <c r="H21">
        <v>4</v>
      </c>
      <c r="I21">
        <v>4</v>
      </c>
      <c r="J21">
        <v>3</v>
      </c>
      <c r="K21">
        <v>3</v>
      </c>
      <c r="L21">
        <v>4</v>
      </c>
      <c r="M21">
        <v>4</v>
      </c>
      <c r="N21">
        <v>3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5</v>
      </c>
      <c r="V21">
        <v>2</v>
      </c>
      <c r="W21">
        <v>4</v>
      </c>
      <c r="X21">
        <v>4</v>
      </c>
      <c r="Y21">
        <v>4</v>
      </c>
      <c r="Z21">
        <v>4</v>
      </c>
      <c r="AA21">
        <v>4</v>
      </c>
      <c r="AB21">
        <v>3</v>
      </c>
      <c r="AC21">
        <v>4</v>
      </c>
      <c r="AD21">
        <v>4</v>
      </c>
      <c r="AE21">
        <v>4</v>
      </c>
    </row>
    <row r="22" spans="1:31" x14ac:dyDescent="0.2">
      <c r="A22" t="s">
        <v>31</v>
      </c>
      <c r="B22">
        <v>3</v>
      </c>
      <c r="C22">
        <v>4</v>
      </c>
      <c r="D22">
        <v>3</v>
      </c>
      <c r="E22">
        <v>3</v>
      </c>
      <c r="F22">
        <v>2</v>
      </c>
      <c r="G22">
        <v>4</v>
      </c>
      <c r="H22">
        <v>4</v>
      </c>
      <c r="I22">
        <v>4</v>
      </c>
      <c r="J22">
        <v>3</v>
      </c>
      <c r="K22">
        <v>3</v>
      </c>
      <c r="L22">
        <v>4</v>
      </c>
      <c r="M22">
        <v>4</v>
      </c>
      <c r="N22">
        <v>2</v>
      </c>
      <c r="O22">
        <v>2</v>
      </c>
      <c r="P22">
        <v>3</v>
      </c>
      <c r="Q22">
        <v>3</v>
      </c>
      <c r="R22">
        <v>4</v>
      </c>
      <c r="S22">
        <v>3</v>
      </c>
      <c r="T22">
        <v>3</v>
      </c>
      <c r="U22">
        <v>3</v>
      </c>
      <c r="V22">
        <v>3</v>
      </c>
      <c r="W22">
        <v>4</v>
      </c>
      <c r="X22">
        <v>3</v>
      </c>
      <c r="Y22">
        <v>4</v>
      </c>
      <c r="Z22">
        <v>4</v>
      </c>
      <c r="AA22">
        <v>3</v>
      </c>
      <c r="AB22">
        <v>3</v>
      </c>
      <c r="AC22">
        <v>4</v>
      </c>
      <c r="AD22">
        <v>4</v>
      </c>
      <c r="AE22">
        <v>4</v>
      </c>
    </row>
    <row r="23" spans="1:31" x14ac:dyDescent="0.2">
      <c r="A23" t="s">
        <v>31</v>
      </c>
      <c r="B23">
        <v>3</v>
      </c>
      <c r="C23">
        <v>4</v>
      </c>
      <c r="D23">
        <v>4</v>
      </c>
      <c r="E23">
        <v>3</v>
      </c>
      <c r="F23">
        <v>4</v>
      </c>
      <c r="G23">
        <v>4</v>
      </c>
      <c r="H23">
        <v>4</v>
      </c>
      <c r="I23">
        <v>4</v>
      </c>
      <c r="J23">
        <v>4</v>
      </c>
      <c r="K23">
        <v>3</v>
      </c>
      <c r="L23">
        <v>4</v>
      </c>
      <c r="M23">
        <v>4</v>
      </c>
      <c r="N23">
        <v>4</v>
      </c>
      <c r="O23">
        <v>4</v>
      </c>
      <c r="P23">
        <v>3</v>
      </c>
      <c r="Q23">
        <v>3</v>
      </c>
      <c r="R23">
        <v>4</v>
      </c>
      <c r="S23">
        <v>1</v>
      </c>
      <c r="T23">
        <v>2</v>
      </c>
      <c r="U23">
        <v>3</v>
      </c>
      <c r="V23">
        <v>3</v>
      </c>
      <c r="W23">
        <v>4</v>
      </c>
      <c r="X23">
        <v>3</v>
      </c>
      <c r="Y23">
        <v>3</v>
      </c>
      <c r="Z23">
        <v>4</v>
      </c>
      <c r="AA23">
        <v>3</v>
      </c>
      <c r="AB23">
        <v>3</v>
      </c>
      <c r="AC23">
        <v>3</v>
      </c>
      <c r="AD23">
        <v>2</v>
      </c>
      <c r="AE23">
        <v>3</v>
      </c>
    </row>
    <row r="24" spans="1:31" x14ac:dyDescent="0.2">
      <c r="A24" t="s">
        <v>31</v>
      </c>
      <c r="B24">
        <v>4</v>
      </c>
      <c r="C24">
        <v>4</v>
      </c>
      <c r="D24">
        <v>3</v>
      </c>
      <c r="E24">
        <v>3</v>
      </c>
      <c r="F24">
        <v>3</v>
      </c>
      <c r="G24">
        <v>4</v>
      </c>
      <c r="H24">
        <v>4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3</v>
      </c>
      <c r="P24">
        <v>3</v>
      </c>
      <c r="Q24">
        <v>4</v>
      </c>
      <c r="R24">
        <v>4</v>
      </c>
      <c r="S24">
        <v>4</v>
      </c>
      <c r="T24">
        <v>4</v>
      </c>
      <c r="U24">
        <v>4</v>
      </c>
      <c r="V24">
        <v>3</v>
      </c>
      <c r="W24">
        <v>4</v>
      </c>
      <c r="X24">
        <v>4</v>
      </c>
      <c r="Y24">
        <v>4</v>
      </c>
      <c r="Z24">
        <v>3</v>
      </c>
      <c r="AA24">
        <v>3</v>
      </c>
      <c r="AB24">
        <v>3</v>
      </c>
      <c r="AC24">
        <v>4</v>
      </c>
      <c r="AD24">
        <v>3</v>
      </c>
      <c r="AE24">
        <v>4</v>
      </c>
    </row>
    <row r="25" spans="1:31" x14ac:dyDescent="0.2">
      <c r="A25" t="s">
        <v>31</v>
      </c>
      <c r="B25">
        <v>4</v>
      </c>
      <c r="C25">
        <v>4</v>
      </c>
      <c r="D25">
        <v>3</v>
      </c>
      <c r="E25">
        <v>3</v>
      </c>
      <c r="F25">
        <v>3</v>
      </c>
      <c r="G25">
        <v>3</v>
      </c>
      <c r="H25">
        <v>4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4</v>
      </c>
      <c r="U25">
        <v>4</v>
      </c>
      <c r="V25">
        <v>3</v>
      </c>
      <c r="W25">
        <v>4</v>
      </c>
      <c r="X25">
        <v>4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</row>
    <row r="26" spans="1:31" x14ac:dyDescent="0.2">
      <c r="A26" t="s">
        <v>31</v>
      </c>
      <c r="B26">
        <v>4</v>
      </c>
      <c r="C26">
        <v>5</v>
      </c>
      <c r="D26">
        <v>5</v>
      </c>
      <c r="E26">
        <v>5</v>
      </c>
      <c r="F26">
        <v>2</v>
      </c>
      <c r="G26">
        <v>4</v>
      </c>
      <c r="H26">
        <v>4</v>
      </c>
      <c r="I26">
        <v>3</v>
      </c>
      <c r="J26">
        <v>3</v>
      </c>
      <c r="K26">
        <v>4</v>
      </c>
      <c r="L26">
        <v>3</v>
      </c>
      <c r="M26">
        <v>3</v>
      </c>
      <c r="N26">
        <v>2</v>
      </c>
      <c r="O26">
        <v>4</v>
      </c>
      <c r="P26">
        <v>3</v>
      </c>
      <c r="Q26">
        <v>3</v>
      </c>
      <c r="R26">
        <v>5</v>
      </c>
      <c r="S26">
        <v>3</v>
      </c>
      <c r="T26">
        <v>4</v>
      </c>
      <c r="U26">
        <v>4</v>
      </c>
      <c r="V26">
        <v>4</v>
      </c>
      <c r="W26">
        <v>5</v>
      </c>
      <c r="X26">
        <v>3</v>
      </c>
      <c r="Y26">
        <v>1</v>
      </c>
      <c r="Z26">
        <v>3</v>
      </c>
      <c r="AA26">
        <v>5</v>
      </c>
      <c r="AB26">
        <v>4</v>
      </c>
      <c r="AC26">
        <v>3</v>
      </c>
      <c r="AD26">
        <v>5</v>
      </c>
      <c r="AE26">
        <v>4</v>
      </c>
    </row>
    <row r="27" spans="1:31" x14ac:dyDescent="0.2">
      <c r="A27" t="s">
        <v>31</v>
      </c>
      <c r="B27">
        <v>4</v>
      </c>
      <c r="C27">
        <v>4</v>
      </c>
      <c r="D27">
        <v>4</v>
      </c>
      <c r="E27">
        <v>3</v>
      </c>
      <c r="F27">
        <v>4</v>
      </c>
      <c r="G27">
        <v>3</v>
      </c>
      <c r="H27">
        <v>2</v>
      </c>
      <c r="I27">
        <v>4</v>
      </c>
      <c r="J27">
        <v>3</v>
      </c>
      <c r="K27">
        <v>3</v>
      </c>
      <c r="L27">
        <v>4</v>
      </c>
      <c r="M27">
        <v>4</v>
      </c>
      <c r="N27">
        <v>3</v>
      </c>
      <c r="O27">
        <v>3</v>
      </c>
      <c r="P27">
        <v>3</v>
      </c>
      <c r="Q27">
        <v>2</v>
      </c>
      <c r="R27">
        <v>4</v>
      </c>
      <c r="S27">
        <v>2</v>
      </c>
      <c r="T27">
        <v>4</v>
      </c>
      <c r="U27">
        <v>3</v>
      </c>
      <c r="V27">
        <v>1</v>
      </c>
      <c r="W27">
        <v>3</v>
      </c>
      <c r="X27">
        <v>3</v>
      </c>
      <c r="Y27">
        <v>4</v>
      </c>
      <c r="Z27">
        <v>3</v>
      </c>
      <c r="AA27">
        <v>2</v>
      </c>
      <c r="AB27">
        <v>3</v>
      </c>
      <c r="AC27">
        <v>3</v>
      </c>
      <c r="AD27">
        <v>3</v>
      </c>
      <c r="AE27">
        <v>4</v>
      </c>
    </row>
    <row r="28" spans="1:31" x14ac:dyDescent="0.2">
      <c r="A28" t="s">
        <v>31</v>
      </c>
      <c r="B28">
        <v>3</v>
      </c>
      <c r="C28">
        <v>3</v>
      </c>
      <c r="D28">
        <v>3</v>
      </c>
      <c r="E28">
        <v>2</v>
      </c>
      <c r="F28">
        <v>3</v>
      </c>
      <c r="G28">
        <v>4</v>
      </c>
      <c r="H28">
        <v>3</v>
      </c>
      <c r="I28">
        <v>3</v>
      </c>
      <c r="J28">
        <v>4</v>
      </c>
      <c r="K28">
        <v>3</v>
      </c>
      <c r="L28">
        <v>4</v>
      </c>
      <c r="M28">
        <v>2</v>
      </c>
      <c r="N28">
        <v>3</v>
      </c>
      <c r="O28">
        <v>5</v>
      </c>
      <c r="P28">
        <v>3</v>
      </c>
      <c r="Q28">
        <v>3</v>
      </c>
      <c r="R28">
        <v>5</v>
      </c>
      <c r="S28">
        <v>2</v>
      </c>
      <c r="T28">
        <v>4</v>
      </c>
      <c r="U28">
        <v>3</v>
      </c>
      <c r="V28">
        <v>3</v>
      </c>
      <c r="W28">
        <v>4</v>
      </c>
      <c r="X28">
        <v>3</v>
      </c>
      <c r="Y28">
        <v>2</v>
      </c>
      <c r="Z28">
        <v>3</v>
      </c>
      <c r="AA28">
        <v>3</v>
      </c>
      <c r="AB28">
        <v>3</v>
      </c>
      <c r="AC28">
        <v>4</v>
      </c>
      <c r="AD28">
        <v>4</v>
      </c>
      <c r="AE28">
        <v>4</v>
      </c>
    </row>
    <row r="29" spans="1:31" x14ac:dyDescent="0.2">
      <c r="A29" t="s">
        <v>31</v>
      </c>
      <c r="B29">
        <v>5</v>
      </c>
      <c r="C29">
        <v>3</v>
      </c>
      <c r="D29">
        <v>4</v>
      </c>
      <c r="E29">
        <v>5</v>
      </c>
      <c r="F29">
        <v>4</v>
      </c>
      <c r="G29">
        <v>3</v>
      </c>
      <c r="H29">
        <v>2</v>
      </c>
      <c r="I29">
        <v>4</v>
      </c>
      <c r="J29">
        <v>2</v>
      </c>
      <c r="K29">
        <v>3</v>
      </c>
      <c r="L29">
        <v>5</v>
      </c>
      <c r="M29">
        <v>5</v>
      </c>
      <c r="N29">
        <v>4</v>
      </c>
      <c r="O29">
        <v>5</v>
      </c>
      <c r="P29">
        <v>2</v>
      </c>
      <c r="Q29">
        <v>4</v>
      </c>
      <c r="R29">
        <v>5</v>
      </c>
      <c r="S29">
        <v>1</v>
      </c>
      <c r="T29">
        <v>4</v>
      </c>
      <c r="U29">
        <v>5</v>
      </c>
      <c r="V29">
        <v>3</v>
      </c>
      <c r="W29">
        <v>4</v>
      </c>
      <c r="X29">
        <v>3</v>
      </c>
      <c r="Y29">
        <v>4</v>
      </c>
      <c r="Z29">
        <v>1</v>
      </c>
      <c r="AA29">
        <v>4</v>
      </c>
      <c r="AB29">
        <v>3</v>
      </c>
      <c r="AC29">
        <v>2</v>
      </c>
      <c r="AD29">
        <v>3</v>
      </c>
      <c r="AE29">
        <v>4</v>
      </c>
    </row>
    <row r="30" spans="1:31" x14ac:dyDescent="0.2">
      <c r="A30" t="s">
        <v>31</v>
      </c>
      <c r="B30">
        <v>5</v>
      </c>
      <c r="C30">
        <v>4</v>
      </c>
      <c r="D30">
        <v>4</v>
      </c>
      <c r="E30">
        <v>5</v>
      </c>
      <c r="F30">
        <v>5</v>
      </c>
      <c r="G30">
        <v>5</v>
      </c>
      <c r="H30">
        <v>5</v>
      </c>
      <c r="I30">
        <v>5</v>
      </c>
      <c r="J30">
        <v>3</v>
      </c>
      <c r="K30">
        <v>3</v>
      </c>
      <c r="L30">
        <v>4</v>
      </c>
      <c r="M30">
        <v>5</v>
      </c>
      <c r="N30">
        <v>5</v>
      </c>
      <c r="O30">
        <v>4</v>
      </c>
      <c r="P30">
        <v>4</v>
      </c>
      <c r="Q30">
        <v>5</v>
      </c>
      <c r="R30">
        <v>5</v>
      </c>
      <c r="S30">
        <v>2</v>
      </c>
      <c r="T30">
        <v>4</v>
      </c>
      <c r="U30">
        <v>5</v>
      </c>
      <c r="V30">
        <v>3</v>
      </c>
      <c r="W30">
        <v>5</v>
      </c>
      <c r="X30">
        <v>4</v>
      </c>
      <c r="Y30">
        <v>3</v>
      </c>
      <c r="Z30">
        <v>2</v>
      </c>
      <c r="AA30">
        <v>4</v>
      </c>
      <c r="AB30">
        <v>3</v>
      </c>
      <c r="AC30">
        <v>4</v>
      </c>
      <c r="AD30">
        <v>5</v>
      </c>
      <c r="AE30">
        <v>5</v>
      </c>
    </row>
    <row r="31" spans="1:31" x14ac:dyDescent="0.2">
      <c r="A31" t="s">
        <v>31</v>
      </c>
      <c r="B31">
        <v>5</v>
      </c>
      <c r="C31">
        <v>5</v>
      </c>
      <c r="D31">
        <v>5</v>
      </c>
      <c r="E31">
        <v>4</v>
      </c>
      <c r="F31">
        <v>4</v>
      </c>
      <c r="G31">
        <v>5</v>
      </c>
      <c r="H31">
        <v>5</v>
      </c>
      <c r="I31">
        <v>4</v>
      </c>
      <c r="J31">
        <v>4</v>
      </c>
      <c r="K31">
        <v>5</v>
      </c>
      <c r="L31">
        <v>5</v>
      </c>
      <c r="M31">
        <v>4</v>
      </c>
      <c r="N31">
        <v>5</v>
      </c>
      <c r="O31">
        <v>4</v>
      </c>
      <c r="P31">
        <v>4</v>
      </c>
      <c r="Q31">
        <v>4</v>
      </c>
      <c r="R31">
        <v>5</v>
      </c>
      <c r="S31">
        <v>4</v>
      </c>
      <c r="T31">
        <v>4</v>
      </c>
      <c r="U31">
        <v>5</v>
      </c>
      <c r="V31">
        <v>4</v>
      </c>
      <c r="W31">
        <v>4</v>
      </c>
      <c r="X31">
        <v>4</v>
      </c>
      <c r="Y31">
        <v>5</v>
      </c>
      <c r="Z31">
        <v>4</v>
      </c>
      <c r="AA31">
        <v>5</v>
      </c>
      <c r="AB31">
        <v>5</v>
      </c>
      <c r="AC31">
        <v>4</v>
      </c>
      <c r="AD31">
        <v>4</v>
      </c>
      <c r="AE31">
        <v>5</v>
      </c>
    </row>
    <row r="32" spans="1:31" x14ac:dyDescent="0.2">
      <c r="A32" t="s">
        <v>31</v>
      </c>
      <c r="B32">
        <v>4</v>
      </c>
      <c r="C32">
        <v>4</v>
      </c>
      <c r="D32">
        <v>4</v>
      </c>
      <c r="E32">
        <v>3</v>
      </c>
      <c r="F32">
        <v>3</v>
      </c>
      <c r="G32">
        <v>4</v>
      </c>
      <c r="H32">
        <v>4</v>
      </c>
      <c r="I32">
        <v>4</v>
      </c>
      <c r="J32">
        <v>4</v>
      </c>
      <c r="K32">
        <v>3</v>
      </c>
      <c r="L32">
        <v>4</v>
      </c>
      <c r="M32">
        <v>3</v>
      </c>
      <c r="N32">
        <v>4</v>
      </c>
      <c r="O32">
        <v>5</v>
      </c>
      <c r="P32">
        <v>3</v>
      </c>
      <c r="Q32">
        <v>3</v>
      </c>
      <c r="R32">
        <v>5</v>
      </c>
      <c r="S32">
        <v>3</v>
      </c>
      <c r="T32">
        <v>5</v>
      </c>
      <c r="U32">
        <v>5</v>
      </c>
      <c r="V32">
        <v>5</v>
      </c>
      <c r="W32">
        <v>4</v>
      </c>
      <c r="X32">
        <v>3</v>
      </c>
      <c r="Y32">
        <v>4</v>
      </c>
      <c r="Z32">
        <v>4</v>
      </c>
      <c r="AA32">
        <v>5</v>
      </c>
      <c r="AB32">
        <v>3</v>
      </c>
      <c r="AC32">
        <v>4</v>
      </c>
      <c r="AD32">
        <v>4</v>
      </c>
      <c r="AE32">
        <v>4</v>
      </c>
    </row>
    <row r="33" spans="1:31" x14ac:dyDescent="0.2">
      <c r="A33" t="s">
        <v>31</v>
      </c>
      <c r="B33">
        <v>3</v>
      </c>
      <c r="C33">
        <v>4</v>
      </c>
      <c r="D33">
        <v>5</v>
      </c>
      <c r="E33">
        <v>2</v>
      </c>
      <c r="F33">
        <v>2</v>
      </c>
      <c r="G33">
        <v>3</v>
      </c>
      <c r="H33">
        <v>3</v>
      </c>
      <c r="I33">
        <v>2</v>
      </c>
      <c r="J33">
        <v>4</v>
      </c>
      <c r="K33">
        <v>2</v>
      </c>
      <c r="L33">
        <v>4</v>
      </c>
      <c r="M33">
        <v>2</v>
      </c>
      <c r="N33">
        <v>3</v>
      </c>
      <c r="O33">
        <v>3</v>
      </c>
      <c r="P33">
        <v>3</v>
      </c>
      <c r="Q33">
        <v>3</v>
      </c>
      <c r="R33">
        <v>4</v>
      </c>
      <c r="S33">
        <v>1</v>
      </c>
      <c r="T33">
        <v>4</v>
      </c>
      <c r="U33">
        <v>5</v>
      </c>
      <c r="V33">
        <v>3</v>
      </c>
      <c r="W33">
        <v>3</v>
      </c>
      <c r="X33">
        <v>2</v>
      </c>
      <c r="Y33">
        <v>3</v>
      </c>
      <c r="Z33">
        <v>3</v>
      </c>
      <c r="AA33">
        <v>4</v>
      </c>
      <c r="AB33">
        <v>3</v>
      </c>
      <c r="AC33">
        <v>2</v>
      </c>
      <c r="AD33">
        <v>3</v>
      </c>
      <c r="AE33">
        <v>5</v>
      </c>
    </row>
    <row r="34" spans="1:31" x14ac:dyDescent="0.2">
      <c r="A34" t="s">
        <v>31</v>
      </c>
      <c r="B34">
        <v>4</v>
      </c>
      <c r="C34">
        <v>4</v>
      </c>
      <c r="D34">
        <v>3</v>
      </c>
      <c r="E34">
        <v>5</v>
      </c>
      <c r="F34">
        <v>4</v>
      </c>
      <c r="G34">
        <v>3</v>
      </c>
      <c r="H34">
        <v>3</v>
      </c>
      <c r="I34">
        <v>4</v>
      </c>
      <c r="J34">
        <v>4</v>
      </c>
      <c r="K34">
        <v>3</v>
      </c>
      <c r="L34">
        <v>5</v>
      </c>
      <c r="M34">
        <v>3</v>
      </c>
      <c r="N34">
        <v>3</v>
      </c>
      <c r="O34">
        <v>4</v>
      </c>
      <c r="P34">
        <v>4</v>
      </c>
      <c r="Q34">
        <v>4</v>
      </c>
      <c r="R34">
        <v>5</v>
      </c>
      <c r="S34">
        <v>3</v>
      </c>
      <c r="T34">
        <v>4</v>
      </c>
      <c r="U34">
        <v>4</v>
      </c>
      <c r="V34">
        <v>4</v>
      </c>
      <c r="W34">
        <v>5</v>
      </c>
      <c r="X34">
        <v>4</v>
      </c>
      <c r="Y34">
        <v>4</v>
      </c>
      <c r="Z34">
        <v>4</v>
      </c>
      <c r="AA34">
        <v>4</v>
      </c>
      <c r="AB34">
        <v>3</v>
      </c>
      <c r="AC34">
        <v>3</v>
      </c>
      <c r="AD34">
        <v>4</v>
      </c>
      <c r="AE34">
        <v>4</v>
      </c>
    </row>
    <row r="35" spans="1:31" x14ac:dyDescent="0.2">
      <c r="A35" t="s">
        <v>31</v>
      </c>
      <c r="B35">
        <v>5</v>
      </c>
      <c r="C35">
        <v>5</v>
      </c>
      <c r="D35">
        <v>5</v>
      </c>
      <c r="E35">
        <v>5</v>
      </c>
      <c r="F35">
        <v>4</v>
      </c>
      <c r="G35">
        <v>5</v>
      </c>
      <c r="H35">
        <v>4</v>
      </c>
      <c r="I35">
        <v>5</v>
      </c>
      <c r="J35">
        <v>3</v>
      </c>
      <c r="K35">
        <v>5</v>
      </c>
      <c r="L35">
        <v>4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4</v>
      </c>
      <c r="T35">
        <v>4</v>
      </c>
      <c r="U35">
        <v>5</v>
      </c>
      <c r="V35">
        <v>3</v>
      </c>
      <c r="W35">
        <v>5</v>
      </c>
      <c r="X35">
        <v>5</v>
      </c>
      <c r="Y35">
        <v>5</v>
      </c>
      <c r="Z35">
        <v>4</v>
      </c>
      <c r="AA35">
        <v>5</v>
      </c>
      <c r="AB35">
        <v>5</v>
      </c>
      <c r="AC35">
        <v>5</v>
      </c>
      <c r="AD35">
        <v>4</v>
      </c>
      <c r="AE35">
        <v>5</v>
      </c>
    </row>
    <row r="36" spans="1:31" x14ac:dyDescent="0.2">
      <c r="A36" t="s">
        <v>31</v>
      </c>
      <c r="B36">
        <v>2</v>
      </c>
      <c r="C36">
        <v>4</v>
      </c>
      <c r="D36">
        <v>3</v>
      </c>
      <c r="E36">
        <v>2</v>
      </c>
      <c r="F36">
        <v>3</v>
      </c>
      <c r="G36">
        <v>3</v>
      </c>
      <c r="H36">
        <v>3</v>
      </c>
      <c r="I36">
        <v>4</v>
      </c>
      <c r="J36">
        <v>3</v>
      </c>
      <c r="K36">
        <v>2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2</v>
      </c>
      <c r="T36">
        <v>3</v>
      </c>
      <c r="U36">
        <v>3</v>
      </c>
      <c r="V36">
        <v>3</v>
      </c>
      <c r="W36">
        <v>3</v>
      </c>
      <c r="X36">
        <v>4</v>
      </c>
      <c r="Y36">
        <v>4</v>
      </c>
      <c r="Z36">
        <v>4</v>
      </c>
      <c r="AA36">
        <v>3</v>
      </c>
      <c r="AB36">
        <v>3</v>
      </c>
      <c r="AC36">
        <v>4</v>
      </c>
      <c r="AD36">
        <v>3</v>
      </c>
      <c r="AE36">
        <v>4</v>
      </c>
    </row>
    <row r="37" spans="1:31" x14ac:dyDescent="0.2">
      <c r="A37" t="s">
        <v>31</v>
      </c>
      <c r="B37">
        <v>5</v>
      </c>
      <c r="C37">
        <v>5</v>
      </c>
      <c r="D37">
        <v>4</v>
      </c>
      <c r="E37">
        <v>4</v>
      </c>
      <c r="F37">
        <v>4</v>
      </c>
      <c r="G37">
        <v>4</v>
      </c>
      <c r="H37">
        <v>4</v>
      </c>
      <c r="I37">
        <v>5</v>
      </c>
      <c r="J37">
        <v>3</v>
      </c>
      <c r="K37">
        <v>3</v>
      </c>
      <c r="L37">
        <v>5</v>
      </c>
      <c r="M37">
        <v>4</v>
      </c>
      <c r="N37">
        <v>3</v>
      </c>
      <c r="O37">
        <v>4</v>
      </c>
      <c r="P37">
        <v>2</v>
      </c>
      <c r="Q37">
        <v>3</v>
      </c>
      <c r="R37">
        <v>5</v>
      </c>
      <c r="S37">
        <v>2</v>
      </c>
      <c r="T37">
        <v>4</v>
      </c>
      <c r="U37">
        <v>5</v>
      </c>
      <c r="V37">
        <v>2</v>
      </c>
      <c r="W37">
        <v>5</v>
      </c>
      <c r="X37">
        <v>3</v>
      </c>
      <c r="Y37">
        <v>4</v>
      </c>
      <c r="Z37">
        <v>3</v>
      </c>
      <c r="AA37">
        <v>3</v>
      </c>
      <c r="AB37">
        <v>4</v>
      </c>
      <c r="AC37">
        <v>4</v>
      </c>
      <c r="AD37">
        <v>3</v>
      </c>
      <c r="AE37">
        <v>3</v>
      </c>
    </row>
    <row r="38" spans="1:31" x14ac:dyDescent="0.2">
      <c r="A38" t="s">
        <v>31</v>
      </c>
      <c r="B38">
        <v>5</v>
      </c>
      <c r="C38">
        <v>4</v>
      </c>
      <c r="D38">
        <v>4</v>
      </c>
      <c r="E38">
        <v>5</v>
      </c>
      <c r="F38">
        <v>5</v>
      </c>
      <c r="G38">
        <v>4</v>
      </c>
      <c r="H38">
        <v>5</v>
      </c>
      <c r="I38">
        <v>4</v>
      </c>
      <c r="J38">
        <v>4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3</v>
      </c>
      <c r="T38">
        <v>4</v>
      </c>
      <c r="U38">
        <v>4</v>
      </c>
      <c r="V38">
        <v>4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3</v>
      </c>
      <c r="AD38">
        <v>5</v>
      </c>
      <c r="AE38">
        <v>5</v>
      </c>
    </row>
    <row r="39" spans="1:31" x14ac:dyDescent="0.2">
      <c r="A39" t="s">
        <v>31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4</v>
      </c>
      <c r="O39">
        <v>4</v>
      </c>
      <c r="P39">
        <v>5</v>
      </c>
      <c r="Q39">
        <v>5</v>
      </c>
      <c r="R39">
        <v>5</v>
      </c>
      <c r="S39">
        <v>3</v>
      </c>
      <c r="T39">
        <v>4</v>
      </c>
      <c r="U39">
        <v>5</v>
      </c>
      <c r="V39">
        <v>3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4</v>
      </c>
      <c r="AD39">
        <v>5</v>
      </c>
      <c r="AE39">
        <v>5</v>
      </c>
    </row>
    <row r="40" spans="1:31" x14ac:dyDescent="0.2">
      <c r="A40" t="s">
        <v>31</v>
      </c>
      <c r="B40">
        <v>4</v>
      </c>
      <c r="C40">
        <v>4</v>
      </c>
      <c r="D40">
        <v>4</v>
      </c>
      <c r="E40">
        <v>4</v>
      </c>
      <c r="F40">
        <v>3</v>
      </c>
      <c r="G40">
        <v>5</v>
      </c>
      <c r="H40">
        <v>5</v>
      </c>
      <c r="I40">
        <v>4</v>
      </c>
      <c r="J40">
        <v>5</v>
      </c>
      <c r="K40">
        <v>4</v>
      </c>
      <c r="L40">
        <v>4</v>
      </c>
      <c r="M40">
        <v>4</v>
      </c>
      <c r="N40">
        <v>5</v>
      </c>
      <c r="O40">
        <v>4</v>
      </c>
      <c r="P40">
        <v>4</v>
      </c>
      <c r="Q40">
        <v>3</v>
      </c>
      <c r="R40">
        <v>5</v>
      </c>
      <c r="S40">
        <v>4</v>
      </c>
      <c r="T40">
        <v>4</v>
      </c>
      <c r="U40">
        <v>5</v>
      </c>
      <c r="V40">
        <v>5</v>
      </c>
      <c r="W40">
        <v>5</v>
      </c>
      <c r="X40">
        <v>4</v>
      </c>
      <c r="Y40">
        <v>4</v>
      </c>
      <c r="Z40">
        <v>5</v>
      </c>
      <c r="AA40">
        <v>5</v>
      </c>
      <c r="AB40">
        <v>3</v>
      </c>
      <c r="AC40">
        <v>3</v>
      </c>
      <c r="AD40">
        <v>5</v>
      </c>
      <c r="AE40">
        <v>5</v>
      </c>
    </row>
    <row r="41" spans="1:31" x14ac:dyDescent="0.2">
      <c r="A41" t="s">
        <v>31</v>
      </c>
      <c r="B41">
        <v>5</v>
      </c>
      <c r="C41">
        <v>5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</row>
    <row r="42" spans="1:31" x14ac:dyDescent="0.2">
      <c r="A42" t="s">
        <v>31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4</v>
      </c>
      <c r="K42">
        <v>4</v>
      </c>
      <c r="L42">
        <v>5</v>
      </c>
      <c r="M42">
        <v>4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4</v>
      </c>
      <c r="AA42">
        <v>5</v>
      </c>
      <c r="AB42">
        <v>5</v>
      </c>
      <c r="AC42">
        <v>5</v>
      </c>
      <c r="AD42">
        <v>5</v>
      </c>
      <c r="AE42">
        <v>5</v>
      </c>
    </row>
    <row r="43" spans="1:31" x14ac:dyDescent="0.2">
      <c r="A43" t="s">
        <v>31</v>
      </c>
      <c r="B43">
        <v>4</v>
      </c>
      <c r="C43">
        <v>5</v>
      </c>
      <c r="D43">
        <v>4</v>
      </c>
      <c r="E43">
        <v>3</v>
      </c>
      <c r="F43">
        <v>3</v>
      </c>
      <c r="G43">
        <v>3</v>
      </c>
      <c r="H43">
        <v>3</v>
      </c>
      <c r="I43">
        <v>3</v>
      </c>
      <c r="J43">
        <v>4</v>
      </c>
      <c r="K43">
        <v>4</v>
      </c>
      <c r="L43">
        <v>4</v>
      </c>
      <c r="M43">
        <v>4</v>
      </c>
      <c r="N43">
        <v>4</v>
      </c>
      <c r="O43">
        <v>3</v>
      </c>
      <c r="P43">
        <v>3</v>
      </c>
      <c r="Q43">
        <v>4</v>
      </c>
      <c r="R43">
        <v>4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4</v>
      </c>
      <c r="Z43">
        <v>3</v>
      </c>
      <c r="AA43">
        <v>3</v>
      </c>
      <c r="AB43">
        <v>3</v>
      </c>
      <c r="AC43">
        <v>3</v>
      </c>
      <c r="AD43">
        <v>4</v>
      </c>
      <c r="AE43">
        <v>4</v>
      </c>
    </row>
    <row r="44" spans="1:31" x14ac:dyDescent="0.2">
      <c r="A44" t="s">
        <v>31</v>
      </c>
      <c r="B44">
        <v>4</v>
      </c>
      <c r="C44">
        <v>5</v>
      </c>
      <c r="D44">
        <v>4</v>
      </c>
      <c r="E44">
        <v>4</v>
      </c>
      <c r="F44">
        <v>4</v>
      </c>
      <c r="G44">
        <v>4</v>
      </c>
      <c r="H44">
        <v>3</v>
      </c>
      <c r="I44">
        <v>3</v>
      </c>
      <c r="J44">
        <v>2</v>
      </c>
      <c r="K44">
        <v>3</v>
      </c>
      <c r="L44">
        <v>4</v>
      </c>
      <c r="M44">
        <v>4</v>
      </c>
      <c r="N44">
        <v>2</v>
      </c>
      <c r="O44">
        <v>4</v>
      </c>
      <c r="P44">
        <v>4</v>
      </c>
      <c r="Q44">
        <v>4</v>
      </c>
      <c r="R44">
        <v>5</v>
      </c>
      <c r="S44">
        <v>4</v>
      </c>
      <c r="T44">
        <v>3</v>
      </c>
      <c r="U44">
        <v>5</v>
      </c>
      <c r="V44">
        <v>4</v>
      </c>
      <c r="W44">
        <v>4</v>
      </c>
      <c r="X44">
        <v>3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</row>
    <row r="45" spans="1:31" x14ac:dyDescent="0.2">
      <c r="A45" t="s">
        <v>31</v>
      </c>
      <c r="B45">
        <v>5</v>
      </c>
      <c r="C45">
        <v>5</v>
      </c>
      <c r="D45">
        <v>5</v>
      </c>
      <c r="E45">
        <v>5</v>
      </c>
      <c r="F45">
        <v>4</v>
      </c>
      <c r="G45">
        <v>5</v>
      </c>
      <c r="H45">
        <v>5</v>
      </c>
      <c r="I45">
        <v>5</v>
      </c>
      <c r="J45">
        <v>4</v>
      </c>
      <c r="K45">
        <v>4</v>
      </c>
      <c r="L45">
        <v>5</v>
      </c>
      <c r="M45">
        <v>5</v>
      </c>
      <c r="N45">
        <v>4</v>
      </c>
      <c r="O45">
        <v>4</v>
      </c>
      <c r="P45">
        <v>4</v>
      </c>
      <c r="Q45">
        <v>5</v>
      </c>
      <c r="R45">
        <v>5</v>
      </c>
      <c r="S45">
        <v>5</v>
      </c>
      <c r="T45">
        <v>4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4</v>
      </c>
      <c r="AC45">
        <v>4</v>
      </c>
      <c r="AD45">
        <v>4</v>
      </c>
      <c r="AE45">
        <v>5</v>
      </c>
    </row>
    <row r="46" spans="1:31" x14ac:dyDescent="0.2">
      <c r="A46" t="s">
        <v>31</v>
      </c>
      <c r="B46">
        <v>4</v>
      </c>
      <c r="C46">
        <v>4</v>
      </c>
      <c r="D46">
        <v>4</v>
      </c>
      <c r="E46">
        <v>3</v>
      </c>
      <c r="F46">
        <v>3</v>
      </c>
      <c r="G46">
        <v>4</v>
      </c>
      <c r="H46">
        <v>4</v>
      </c>
      <c r="I46">
        <v>4</v>
      </c>
      <c r="J46">
        <v>4</v>
      </c>
      <c r="K46">
        <v>4</v>
      </c>
      <c r="L46">
        <v>5</v>
      </c>
      <c r="M46">
        <v>4</v>
      </c>
      <c r="N46">
        <v>4</v>
      </c>
      <c r="O46">
        <v>4</v>
      </c>
      <c r="P46">
        <v>3</v>
      </c>
      <c r="Q46">
        <v>4</v>
      </c>
      <c r="R46">
        <v>5</v>
      </c>
      <c r="S46">
        <v>3</v>
      </c>
      <c r="T46">
        <v>4</v>
      </c>
      <c r="U46">
        <v>4</v>
      </c>
      <c r="V46">
        <v>3</v>
      </c>
      <c r="W46">
        <v>5</v>
      </c>
      <c r="X46">
        <v>4</v>
      </c>
      <c r="Y46">
        <v>3</v>
      </c>
      <c r="Z46">
        <v>4</v>
      </c>
      <c r="AA46">
        <v>4</v>
      </c>
      <c r="AB46">
        <v>4</v>
      </c>
      <c r="AC46">
        <v>4</v>
      </c>
      <c r="AD46">
        <v>5</v>
      </c>
      <c r="AE46">
        <v>5</v>
      </c>
    </row>
    <row r="47" spans="1:31" x14ac:dyDescent="0.2">
      <c r="A47" t="s">
        <v>31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3</v>
      </c>
      <c r="I47">
        <v>4</v>
      </c>
      <c r="J47">
        <v>3</v>
      </c>
      <c r="K47">
        <v>4</v>
      </c>
      <c r="L47">
        <v>4</v>
      </c>
      <c r="M47">
        <v>4</v>
      </c>
      <c r="N47">
        <v>4</v>
      </c>
      <c r="O47">
        <v>3</v>
      </c>
      <c r="P47">
        <v>4</v>
      </c>
      <c r="Q47">
        <v>3</v>
      </c>
      <c r="R47">
        <v>4</v>
      </c>
      <c r="S47">
        <v>3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3</v>
      </c>
      <c r="AD47">
        <v>4</v>
      </c>
      <c r="AE47">
        <v>4</v>
      </c>
    </row>
    <row r="48" spans="1:31" x14ac:dyDescent="0.2">
      <c r="A48" t="s">
        <v>31</v>
      </c>
      <c r="B48">
        <v>5</v>
      </c>
      <c r="C48">
        <v>5</v>
      </c>
      <c r="D48">
        <v>5</v>
      </c>
      <c r="E48">
        <v>4</v>
      </c>
      <c r="F48">
        <v>3</v>
      </c>
      <c r="G48">
        <v>4</v>
      </c>
      <c r="H48">
        <v>5</v>
      </c>
      <c r="I48">
        <v>5</v>
      </c>
      <c r="J48">
        <v>4</v>
      </c>
      <c r="K48">
        <v>5</v>
      </c>
      <c r="L48">
        <v>5</v>
      </c>
      <c r="M48">
        <v>5</v>
      </c>
      <c r="N48">
        <v>5</v>
      </c>
      <c r="O48">
        <v>3</v>
      </c>
      <c r="P48">
        <v>5</v>
      </c>
      <c r="Q48">
        <v>5</v>
      </c>
      <c r="R48">
        <v>5</v>
      </c>
      <c r="S48">
        <v>3</v>
      </c>
      <c r="T48">
        <v>4</v>
      </c>
      <c r="U48">
        <v>5</v>
      </c>
      <c r="V48">
        <v>5</v>
      </c>
      <c r="W48">
        <v>5</v>
      </c>
      <c r="X48">
        <v>4</v>
      </c>
      <c r="Y48">
        <v>5</v>
      </c>
      <c r="Z48">
        <v>4</v>
      </c>
      <c r="AA48">
        <v>5</v>
      </c>
      <c r="AB48">
        <v>4</v>
      </c>
      <c r="AC48">
        <v>4</v>
      </c>
      <c r="AD48">
        <v>4</v>
      </c>
      <c r="AE48">
        <v>5</v>
      </c>
    </row>
    <row r="49" spans="1:31" x14ac:dyDescent="0.2">
      <c r="A49" t="s">
        <v>31</v>
      </c>
      <c r="B49">
        <v>5</v>
      </c>
      <c r="C49">
        <v>5</v>
      </c>
      <c r="D49">
        <v>5</v>
      </c>
      <c r="E49">
        <v>4</v>
      </c>
      <c r="F49">
        <v>5</v>
      </c>
      <c r="G49">
        <v>5</v>
      </c>
      <c r="H49">
        <v>5</v>
      </c>
      <c r="I49">
        <v>5</v>
      </c>
      <c r="J49">
        <v>4</v>
      </c>
      <c r="K49">
        <v>4</v>
      </c>
      <c r="L49">
        <v>5</v>
      </c>
      <c r="M49">
        <v>5</v>
      </c>
      <c r="N49">
        <v>4</v>
      </c>
      <c r="O49">
        <v>4</v>
      </c>
      <c r="P49">
        <v>4</v>
      </c>
      <c r="Q49">
        <v>5</v>
      </c>
      <c r="R49">
        <v>5</v>
      </c>
      <c r="S49">
        <v>4</v>
      </c>
      <c r="T49">
        <v>4</v>
      </c>
      <c r="U49">
        <v>5</v>
      </c>
      <c r="V49">
        <v>3</v>
      </c>
      <c r="W49">
        <v>5</v>
      </c>
      <c r="X49">
        <v>5</v>
      </c>
      <c r="Y49">
        <v>5</v>
      </c>
      <c r="Z49">
        <v>4</v>
      </c>
      <c r="AA49">
        <v>5</v>
      </c>
      <c r="AB49">
        <v>5</v>
      </c>
      <c r="AC49">
        <v>4</v>
      </c>
      <c r="AD49">
        <v>5</v>
      </c>
      <c r="AE49">
        <v>5</v>
      </c>
    </row>
    <row r="50" spans="1:31" x14ac:dyDescent="0.2">
      <c r="A50" t="s">
        <v>31</v>
      </c>
      <c r="B50">
        <v>4</v>
      </c>
      <c r="C50">
        <v>4</v>
      </c>
      <c r="D50">
        <v>4</v>
      </c>
      <c r="E50">
        <v>3</v>
      </c>
      <c r="F50">
        <v>4</v>
      </c>
      <c r="G50">
        <v>4</v>
      </c>
      <c r="H50">
        <v>4</v>
      </c>
      <c r="I50">
        <v>4</v>
      </c>
      <c r="J50">
        <v>3</v>
      </c>
      <c r="K50">
        <v>4</v>
      </c>
      <c r="L50">
        <v>3</v>
      </c>
      <c r="M50">
        <v>3</v>
      </c>
      <c r="N50">
        <v>4</v>
      </c>
      <c r="O50">
        <v>4</v>
      </c>
      <c r="P50">
        <v>3</v>
      </c>
      <c r="Q50">
        <v>4</v>
      </c>
      <c r="R50">
        <v>4</v>
      </c>
      <c r="S50">
        <v>2</v>
      </c>
      <c r="T50">
        <v>3</v>
      </c>
      <c r="U50">
        <v>5</v>
      </c>
      <c r="V50">
        <v>2</v>
      </c>
      <c r="W50">
        <v>4</v>
      </c>
      <c r="X50">
        <v>4</v>
      </c>
      <c r="Y50">
        <v>3</v>
      </c>
      <c r="Z50">
        <v>3</v>
      </c>
      <c r="AA50">
        <v>3</v>
      </c>
      <c r="AB50">
        <v>4</v>
      </c>
      <c r="AC50">
        <v>4</v>
      </c>
      <c r="AD50">
        <v>4</v>
      </c>
      <c r="AE50">
        <v>3</v>
      </c>
    </row>
    <row r="51" spans="1:31" x14ac:dyDescent="0.2">
      <c r="A51" t="s">
        <v>31</v>
      </c>
      <c r="B51">
        <v>5</v>
      </c>
      <c r="C51">
        <v>4</v>
      </c>
      <c r="D51">
        <v>4</v>
      </c>
      <c r="E51">
        <v>4</v>
      </c>
      <c r="F51">
        <v>5</v>
      </c>
      <c r="G51">
        <v>5</v>
      </c>
      <c r="H51">
        <v>4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4</v>
      </c>
      <c r="Q51">
        <v>5</v>
      </c>
      <c r="R51">
        <v>5</v>
      </c>
      <c r="S51">
        <v>2</v>
      </c>
      <c r="T51">
        <v>5</v>
      </c>
      <c r="U51">
        <v>5</v>
      </c>
      <c r="V51">
        <v>1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</row>
    <row r="52" spans="1:31" x14ac:dyDescent="0.2">
      <c r="A52" t="s">
        <v>31</v>
      </c>
      <c r="B52">
        <v>4</v>
      </c>
      <c r="C52">
        <v>4</v>
      </c>
      <c r="D52">
        <v>4</v>
      </c>
      <c r="E52">
        <v>4</v>
      </c>
      <c r="F52">
        <v>3</v>
      </c>
      <c r="G52">
        <v>4</v>
      </c>
      <c r="H52">
        <v>4</v>
      </c>
      <c r="I52">
        <v>4</v>
      </c>
      <c r="J52">
        <v>3</v>
      </c>
      <c r="K52">
        <v>4</v>
      </c>
      <c r="L52">
        <v>4</v>
      </c>
      <c r="M52">
        <v>3</v>
      </c>
      <c r="N52">
        <v>4</v>
      </c>
      <c r="O52">
        <v>4</v>
      </c>
      <c r="P52">
        <v>4</v>
      </c>
      <c r="Q52">
        <v>3</v>
      </c>
      <c r="R52">
        <v>4</v>
      </c>
      <c r="S52">
        <v>3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</row>
    <row r="53" spans="1:31" x14ac:dyDescent="0.2">
      <c r="A53" t="s">
        <v>31</v>
      </c>
      <c r="B53">
        <v>4</v>
      </c>
      <c r="C53">
        <v>4</v>
      </c>
      <c r="D53">
        <v>3</v>
      </c>
      <c r="E53">
        <v>3</v>
      </c>
      <c r="F53">
        <v>3</v>
      </c>
      <c r="G53">
        <v>4</v>
      </c>
      <c r="H53">
        <v>4</v>
      </c>
      <c r="I53">
        <v>4</v>
      </c>
      <c r="J53">
        <v>4</v>
      </c>
      <c r="K53">
        <v>3</v>
      </c>
      <c r="L53">
        <v>3</v>
      </c>
      <c r="M53">
        <v>4</v>
      </c>
      <c r="N53">
        <v>3</v>
      </c>
      <c r="O53">
        <v>5</v>
      </c>
      <c r="P53">
        <v>4</v>
      </c>
      <c r="Q53">
        <v>4</v>
      </c>
      <c r="R53">
        <v>4</v>
      </c>
      <c r="S53">
        <v>3</v>
      </c>
      <c r="T53">
        <v>3</v>
      </c>
      <c r="U53">
        <v>4</v>
      </c>
      <c r="V53">
        <v>3</v>
      </c>
      <c r="W53">
        <v>4</v>
      </c>
      <c r="X53">
        <v>4</v>
      </c>
      <c r="Y53">
        <v>4</v>
      </c>
      <c r="Z53">
        <v>3</v>
      </c>
      <c r="AA53">
        <v>3</v>
      </c>
      <c r="AB53">
        <v>4</v>
      </c>
      <c r="AC53">
        <v>4</v>
      </c>
      <c r="AD53">
        <v>4</v>
      </c>
      <c r="AE53">
        <v>4</v>
      </c>
    </row>
    <row r="54" spans="1:31" x14ac:dyDescent="0.2">
      <c r="A54" t="s">
        <v>31</v>
      </c>
      <c r="B54">
        <v>4</v>
      </c>
      <c r="C54">
        <v>4</v>
      </c>
      <c r="D54">
        <v>3</v>
      </c>
      <c r="E54">
        <v>3</v>
      </c>
      <c r="F54">
        <v>3</v>
      </c>
      <c r="G54">
        <v>3</v>
      </c>
      <c r="H54">
        <v>4</v>
      </c>
      <c r="I54">
        <v>4</v>
      </c>
      <c r="J54">
        <v>3</v>
      </c>
      <c r="K54">
        <v>4</v>
      </c>
      <c r="L54">
        <v>4</v>
      </c>
      <c r="M54">
        <v>4</v>
      </c>
      <c r="N54">
        <v>4</v>
      </c>
      <c r="O54">
        <v>3</v>
      </c>
      <c r="P54">
        <v>3</v>
      </c>
      <c r="Q54">
        <v>3</v>
      </c>
      <c r="R54">
        <v>4</v>
      </c>
      <c r="S54">
        <v>4</v>
      </c>
      <c r="T54">
        <v>3</v>
      </c>
      <c r="U54">
        <v>3</v>
      </c>
      <c r="V54">
        <v>3</v>
      </c>
      <c r="W54">
        <v>4</v>
      </c>
      <c r="X54">
        <v>3</v>
      </c>
      <c r="Y54">
        <v>3</v>
      </c>
      <c r="Z54">
        <v>3</v>
      </c>
      <c r="AA54">
        <v>4</v>
      </c>
      <c r="AB54">
        <v>4</v>
      </c>
      <c r="AC54">
        <v>4</v>
      </c>
      <c r="AD54">
        <v>4</v>
      </c>
      <c r="AE54">
        <v>4</v>
      </c>
    </row>
    <row r="55" spans="1:31" x14ac:dyDescent="0.2">
      <c r="A55" t="s">
        <v>31</v>
      </c>
      <c r="B55">
        <v>4</v>
      </c>
      <c r="C55">
        <v>4</v>
      </c>
      <c r="D55">
        <v>4</v>
      </c>
      <c r="E55">
        <v>5</v>
      </c>
      <c r="F55">
        <v>5</v>
      </c>
      <c r="G55">
        <v>4</v>
      </c>
      <c r="H55">
        <v>4</v>
      </c>
      <c r="I55">
        <v>5</v>
      </c>
      <c r="J55">
        <v>4</v>
      </c>
      <c r="K55">
        <v>3</v>
      </c>
      <c r="L55">
        <v>4</v>
      </c>
      <c r="M55">
        <v>3</v>
      </c>
      <c r="N55">
        <v>3</v>
      </c>
      <c r="O55">
        <v>3</v>
      </c>
      <c r="P55">
        <v>4</v>
      </c>
      <c r="Q55">
        <v>3</v>
      </c>
      <c r="R55">
        <v>5</v>
      </c>
      <c r="S55">
        <v>3</v>
      </c>
      <c r="T55">
        <v>3</v>
      </c>
      <c r="U55">
        <v>5</v>
      </c>
      <c r="V55">
        <v>4</v>
      </c>
      <c r="W55">
        <v>4</v>
      </c>
      <c r="X55">
        <v>4</v>
      </c>
      <c r="Y55">
        <v>3</v>
      </c>
      <c r="Z55">
        <v>2</v>
      </c>
      <c r="AA55">
        <v>3</v>
      </c>
      <c r="AB55">
        <v>3</v>
      </c>
      <c r="AC55">
        <v>3</v>
      </c>
      <c r="AD55">
        <v>4</v>
      </c>
      <c r="AE55">
        <v>4</v>
      </c>
    </row>
    <row r="56" spans="1:31" x14ac:dyDescent="0.2">
      <c r="A56" t="s">
        <v>31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</row>
    <row r="57" spans="1:31" x14ac:dyDescent="0.2">
      <c r="A57" t="s">
        <v>31</v>
      </c>
      <c r="B57">
        <v>5</v>
      </c>
      <c r="C57">
        <v>5</v>
      </c>
      <c r="D57">
        <v>5</v>
      </c>
      <c r="E57">
        <v>3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5</v>
      </c>
      <c r="M57">
        <v>5</v>
      </c>
      <c r="N57">
        <v>1</v>
      </c>
      <c r="O57">
        <v>1</v>
      </c>
      <c r="P57">
        <v>2</v>
      </c>
      <c r="Q57">
        <v>5</v>
      </c>
      <c r="R57">
        <v>5</v>
      </c>
      <c r="S57">
        <v>5</v>
      </c>
      <c r="T57">
        <v>5</v>
      </c>
      <c r="U57">
        <v>5</v>
      </c>
      <c r="V57">
        <v>4</v>
      </c>
      <c r="W57">
        <v>5</v>
      </c>
      <c r="X57">
        <v>5</v>
      </c>
      <c r="Y57">
        <v>5</v>
      </c>
      <c r="Z57">
        <v>3</v>
      </c>
      <c r="AA57">
        <v>5</v>
      </c>
      <c r="AB57">
        <v>5</v>
      </c>
      <c r="AC57">
        <v>2</v>
      </c>
      <c r="AD57">
        <v>5</v>
      </c>
      <c r="AE57">
        <v>5</v>
      </c>
    </row>
    <row r="58" spans="1:31" x14ac:dyDescent="0.2">
      <c r="A58" t="s">
        <v>31</v>
      </c>
      <c r="B58">
        <v>4</v>
      </c>
      <c r="C58">
        <v>5</v>
      </c>
      <c r="D58">
        <v>5</v>
      </c>
      <c r="E58">
        <v>4</v>
      </c>
      <c r="F58">
        <v>3</v>
      </c>
      <c r="G58">
        <v>4</v>
      </c>
      <c r="H58">
        <v>4</v>
      </c>
      <c r="I58">
        <v>3</v>
      </c>
      <c r="J58">
        <v>3</v>
      </c>
      <c r="K58">
        <v>4</v>
      </c>
      <c r="L58">
        <v>4</v>
      </c>
      <c r="M58">
        <v>4</v>
      </c>
      <c r="N58">
        <v>3</v>
      </c>
      <c r="O58">
        <v>4</v>
      </c>
      <c r="P58">
        <v>4</v>
      </c>
      <c r="Q58">
        <v>3</v>
      </c>
      <c r="R58">
        <v>5</v>
      </c>
      <c r="S58">
        <v>3</v>
      </c>
      <c r="T58">
        <v>4</v>
      </c>
      <c r="U58">
        <v>4</v>
      </c>
      <c r="V58">
        <v>3</v>
      </c>
      <c r="W58">
        <v>4</v>
      </c>
      <c r="X58">
        <v>4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4</v>
      </c>
    </row>
    <row r="59" spans="1:31" x14ac:dyDescent="0.2">
      <c r="A59" t="s">
        <v>31</v>
      </c>
      <c r="B59">
        <v>5</v>
      </c>
      <c r="C59">
        <v>4</v>
      </c>
      <c r="D59">
        <v>5</v>
      </c>
      <c r="E59">
        <v>4</v>
      </c>
      <c r="F59">
        <v>4</v>
      </c>
      <c r="G59">
        <v>4</v>
      </c>
      <c r="H59">
        <v>4</v>
      </c>
      <c r="I59">
        <v>4</v>
      </c>
      <c r="J59">
        <v>5</v>
      </c>
      <c r="K59">
        <v>3</v>
      </c>
      <c r="L59">
        <v>5</v>
      </c>
      <c r="M59">
        <v>3</v>
      </c>
      <c r="N59">
        <v>4</v>
      </c>
      <c r="O59">
        <v>4</v>
      </c>
      <c r="P59">
        <v>4</v>
      </c>
      <c r="Q59">
        <v>4</v>
      </c>
      <c r="R59">
        <v>4</v>
      </c>
      <c r="S59">
        <v>3</v>
      </c>
      <c r="T59">
        <v>4</v>
      </c>
      <c r="U59">
        <v>4</v>
      </c>
      <c r="V59">
        <v>4</v>
      </c>
      <c r="W59">
        <v>5</v>
      </c>
      <c r="X59">
        <v>4</v>
      </c>
      <c r="Y59">
        <v>3</v>
      </c>
      <c r="Z59">
        <v>5</v>
      </c>
      <c r="AA59">
        <v>3</v>
      </c>
      <c r="AB59">
        <v>4</v>
      </c>
      <c r="AC59">
        <v>4</v>
      </c>
      <c r="AD59">
        <v>4</v>
      </c>
      <c r="AE59">
        <v>5</v>
      </c>
    </row>
    <row r="60" spans="1:31" x14ac:dyDescent="0.2">
      <c r="A60" s="4" t="s">
        <v>51</v>
      </c>
      <c r="B60" s="5">
        <f>AVERAGE(B3:B59)</f>
        <v>4.2631578947368425</v>
      </c>
      <c r="C60" s="5">
        <f t="shared" ref="C60:AE60" si="0">AVERAGE(C3:C59)</f>
        <v>4.4385964912280702</v>
      </c>
      <c r="D60" s="5">
        <f t="shared" si="0"/>
        <v>4.0526315789473681</v>
      </c>
      <c r="E60" s="5">
        <f t="shared" si="0"/>
        <v>3.7719298245614037</v>
      </c>
      <c r="F60" s="5">
        <f t="shared" si="0"/>
        <v>3.7543859649122808</v>
      </c>
      <c r="G60" s="5">
        <f t="shared" si="0"/>
        <v>4</v>
      </c>
      <c r="H60" s="5">
        <f t="shared" si="0"/>
        <v>3.9473684210526314</v>
      </c>
      <c r="I60" s="5">
        <f t="shared" si="0"/>
        <v>4.0701754385964914</v>
      </c>
      <c r="J60" s="5">
        <f t="shared" si="0"/>
        <v>3.5964912280701755</v>
      </c>
      <c r="K60" s="5">
        <f t="shared" si="0"/>
        <v>3.6842105263157894</v>
      </c>
      <c r="L60" s="5">
        <f t="shared" si="0"/>
        <v>4.2631578947368425</v>
      </c>
      <c r="M60" s="5">
        <f t="shared" si="0"/>
        <v>3.9473684210526314</v>
      </c>
      <c r="N60" s="5">
        <f t="shared" si="0"/>
        <v>3.6666666666666665</v>
      </c>
      <c r="O60" s="5">
        <f t="shared" si="0"/>
        <v>3.7017543859649122</v>
      </c>
      <c r="P60" s="5">
        <f t="shared" si="0"/>
        <v>3.5789473684210527</v>
      </c>
      <c r="Q60" s="5">
        <f t="shared" si="0"/>
        <v>3.807017543859649</v>
      </c>
      <c r="R60" s="5">
        <f t="shared" si="0"/>
        <v>4.5789473684210522</v>
      </c>
      <c r="S60" s="5">
        <f t="shared" si="0"/>
        <v>3.0701754385964914</v>
      </c>
      <c r="T60" s="5">
        <f t="shared" si="0"/>
        <v>3.7894736842105261</v>
      </c>
      <c r="U60" s="5">
        <f t="shared" si="0"/>
        <v>4.2456140350877192</v>
      </c>
      <c r="V60" s="5">
        <f t="shared" si="0"/>
        <v>3.4035087719298245</v>
      </c>
      <c r="W60" s="5">
        <f t="shared" si="0"/>
        <v>4.3157894736842106</v>
      </c>
      <c r="X60" s="5">
        <f t="shared" si="0"/>
        <v>3.9649122807017543</v>
      </c>
      <c r="Y60" s="5">
        <f t="shared" si="0"/>
        <v>3.9473684210526314</v>
      </c>
      <c r="Z60" s="5">
        <f t="shared" si="0"/>
        <v>3.7017543859649122</v>
      </c>
      <c r="AA60" s="5">
        <f t="shared" si="0"/>
        <v>3.9473684210526314</v>
      </c>
      <c r="AB60" s="5">
        <f t="shared" si="0"/>
        <v>3.8421052631578947</v>
      </c>
      <c r="AC60" s="5">
        <f t="shared" si="0"/>
        <v>3.6491228070175437</v>
      </c>
      <c r="AD60" s="5">
        <f t="shared" si="0"/>
        <v>4.0350877192982457</v>
      </c>
      <c r="AE60" s="5">
        <f t="shared" si="0"/>
        <v>4.3508771929824563</v>
      </c>
    </row>
  </sheetData>
  <autoFilter ref="A2:AW2" xr:uid="{00000000-0009-0000-0000-000000000000}">
    <sortState xmlns:xlrd2="http://schemas.microsoft.com/office/spreadsheetml/2017/richdata2" ref="A3:AW59">
      <sortCondition ref="A2:A5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9"/>
  <sheetViews>
    <sheetView workbookViewId="0">
      <selection activeCell="AE3" sqref="AE3:AE59"/>
    </sheetView>
  </sheetViews>
  <sheetFormatPr baseColWidth="10" defaultRowHeight="16" x14ac:dyDescent="0.2"/>
  <sheetData>
    <row r="1" spans="1:31" x14ac:dyDescent="0.2">
      <c r="A1" s="2" t="s">
        <v>34</v>
      </c>
      <c r="B1" s="2" t="s">
        <v>35</v>
      </c>
      <c r="C1" s="2" t="s">
        <v>36</v>
      </c>
      <c r="D1" s="2" t="s">
        <v>36</v>
      </c>
      <c r="E1" s="2" t="s">
        <v>37</v>
      </c>
      <c r="F1" s="2" t="s">
        <v>38</v>
      </c>
      <c r="G1" s="2" t="s">
        <v>36</v>
      </c>
      <c r="H1" s="2" t="s">
        <v>39</v>
      </c>
      <c r="I1" s="2" t="s">
        <v>39</v>
      </c>
      <c r="J1" s="2" t="s">
        <v>38</v>
      </c>
      <c r="K1" s="2" t="s">
        <v>36</v>
      </c>
      <c r="L1" s="2" t="s">
        <v>35</v>
      </c>
      <c r="M1" s="2" t="s">
        <v>37</v>
      </c>
      <c r="N1" s="2" t="s">
        <v>37</v>
      </c>
      <c r="O1" s="2" t="s">
        <v>39</v>
      </c>
      <c r="P1" s="2" t="s">
        <v>35</v>
      </c>
      <c r="Q1" s="2" t="s">
        <v>39</v>
      </c>
      <c r="R1" s="2" t="s">
        <v>35</v>
      </c>
      <c r="S1" s="2" t="s">
        <v>37</v>
      </c>
      <c r="T1" s="2" t="s">
        <v>39</v>
      </c>
      <c r="U1" s="2" t="s">
        <v>36</v>
      </c>
      <c r="V1" s="2" t="s">
        <v>35</v>
      </c>
      <c r="W1" s="2" t="s">
        <v>38</v>
      </c>
      <c r="X1" s="2" t="s">
        <v>37</v>
      </c>
      <c r="Y1" s="2" t="s">
        <v>35</v>
      </c>
      <c r="Z1" s="2" t="s">
        <v>37</v>
      </c>
      <c r="AA1" s="2" t="s">
        <v>36</v>
      </c>
      <c r="AB1" s="2" t="s">
        <v>38</v>
      </c>
      <c r="AC1" s="2" t="s">
        <v>38</v>
      </c>
      <c r="AD1" s="2" t="s">
        <v>39</v>
      </c>
      <c r="AE1" s="2" t="s">
        <v>38</v>
      </c>
    </row>
    <row r="2" spans="1:3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40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41</v>
      </c>
      <c r="X2" t="s">
        <v>23</v>
      </c>
      <c r="Y2" t="s">
        <v>42</v>
      </c>
      <c r="Z2" t="s">
        <v>25</v>
      </c>
      <c r="AA2" t="s">
        <v>26</v>
      </c>
      <c r="AB2" t="s">
        <v>27</v>
      </c>
      <c r="AC2" t="s">
        <v>28</v>
      </c>
      <c r="AD2" t="s">
        <v>43</v>
      </c>
      <c r="AE2" t="s">
        <v>30</v>
      </c>
    </row>
    <row r="3" spans="1:31" x14ac:dyDescent="0.2">
      <c r="A3" s="1" t="s">
        <v>33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2</v>
      </c>
      <c r="P3" s="2">
        <v>3</v>
      </c>
      <c r="Q3" s="2">
        <v>3</v>
      </c>
      <c r="R3" s="2">
        <v>3</v>
      </c>
      <c r="S3" s="2">
        <v>3</v>
      </c>
      <c r="T3" s="2">
        <v>2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7">
        <v>3</v>
      </c>
    </row>
    <row r="4" spans="1:31" x14ac:dyDescent="0.2">
      <c r="A4" s="2" t="s">
        <v>32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2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7">
        <v>3</v>
      </c>
    </row>
    <row r="5" spans="1:31" x14ac:dyDescent="0.2">
      <c r="A5" s="2" t="s">
        <v>32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2</v>
      </c>
      <c r="H5" s="2">
        <v>3</v>
      </c>
      <c r="I5" s="2">
        <v>2</v>
      </c>
      <c r="J5" s="2">
        <v>3</v>
      </c>
      <c r="K5" s="2">
        <v>2</v>
      </c>
      <c r="L5" s="2">
        <v>3</v>
      </c>
      <c r="M5" s="2">
        <v>2</v>
      </c>
      <c r="N5" s="2">
        <v>3</v>
      </c>
      <c r="O5" s="2">
        <v>3</v>
      </c>
      <c r="P5" s="2">
        <v>2</v>
      </c>
      <c r="Q5" s="2">
        <v>3</v>
      </c>
      <c r="R5" s="2">
        <v>3</v>
      </c>
      <c r="S5" s="2">
        <v>1</v>
      </c>
      <c r="T5" s="2">
        <v>3</v>
      </c>
      <c r="U5" s="2">
        <v>3</v>
      </c>
      <c r="V5" s="2">
        <v>2</v>
      </c>
      <c r="W5" s="2">
        <v>3</v>
      </c>
      <c r="X5" s="2">
        <v>3</v>
      </c>
      <c r="Y5" s="2">
        <v>2</v>
      </c>
      <c r="Z5" s="2">
        <v>2</v>
      </c>
      <c r="AA5" s="2">
        <v>3</v>
      </c>
      <c r="AB5" s="2">
        <v>2</v>
      </c>
      <c r="AC5" s="2">
        <v>2</v>
      </c>
      <c r="AD5" s="2">
        <v>3</v>
      </c>
      <c r="AE5" s="7">
        <v>3</v>
      </c>
    </row>
    <row r="6" spans="1:31" x14ac:dyDescent="0.2">
      <c r="A6" s="2" t="s">
        <v>32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2</v>
      </c>
      <c r="I6" s="2">
        <v>3</v>
      </c>
      <c r="J6" s="2">
        <v>2</v>
      </c>
      <c r="K6" s="2">
        <v>2</v>
      </c>
      <c r="L6" s="2">
        <v>3</v>
      </c>
      <c r="M6" s="2">
        <v>3</v>
      </c>
      <c r="N6" s="2">
        <v>3</v>
      </c>
      <c r="O6" s="2">
        <v>3</v>
      </c>
      <c r="P6" s="2">
        <v>2</v>
      </c>
      <c r="Q6" s="2">
        <v>2</v>
      </c>
      <c r="R6" s="2">
        <v>3</v>
      </c>
      <c r="S6" s="2">
        <v>2</v>
      </c>
      <c r="T6" s="2">
        <v>3</v>
      </c>
      <c r="U6" s="2">
        <v>3</v>
      </c>
      <c r="V6" s="2">
        <v>2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7">
        <v>3</v>
      </c>
    </row>
    <row r="7" spans="1:31" x14ac:dyDescent="0.2">
      <c r="A7" s="2" t="s">
        <v>32</v>
      </c>
      <c r="B7" s="2">
        <v>3</v>
      </c>
      <c r="C7" s="2">
        <v>3</v>
      </c>
      <c r="D7" s="2">
        <v>3</v>
      </c>
      <c r="E7" s="2">
        <v>3</v>
      </c>
      <c r="F7" s="2">
        <v>2</v>
      </c>
      <c r="G7" s="2">
        <v>3</v>
      </c>
      <c r="H7" s="2">
        <v>1</v>
      </c>
      <c r="I7" s="2">
        <v>3</v>
      </c>
      <c r="J7" s="2">
        <v>1</v>
      </c>
      <c r="K7" s="2">
        <v>3</v>
      </c>
      <c r="L7" s="2">
        <v>3</v>
      </c>
      <c r="M7" s="2">
        <v>2</v>
      </c>
      <c r="N7" s="2">
        <v>1</v>
      </c>
      <c r="O7" s="2">
        <v>2</v>
      </c>
      <c r="P7" s="2">
        <v>2</v>
      </c>
      <c r="Q7" s="2">
        <v>2</v>
      </c>
      <c r="R7" s="2">
        <v>3</v>
      </c>
      <c r="S7" s="2">
        <v>1</v>
      </c>
      <c r="T7" s="2">
        <v>3</v>
      </c>
      <c r="U7" s="2">
        <v>3</v>
      </c>
      <c r="V7" s="2">
        <v>2</v>
      </c>
      <c r="W7" s="2">
        <v>3</v>
      </c>
      <c r="X7" s="2">
        <v>2</v>
      </c>
      <c r="Y7" s="2">
        <v>2</v>
      </c>
      <c r="Z7" s="2">
        <v>3</v>
      </c>
      <c r="AA7" s="2">
        <v>3</v>
      </c>
      <c r="AB7" s="2">
        <v>3</v>
      </c>
      <c r="AC7" s="2">
        <v>2</v>
      </c>
      <c r="AD7" s="2">
        <v>3</v>
      </c>
      <c r="AE7" s="7">
        <v>3</v>
      </c>
    </row>
    <row r="8" spans="1:31" x14ac:dyDescent="0.2">
      <c r="A8" s="2" t="s">
        <v>32</v>
      </c>
      <c r="B8" s="2">
        <v>3</v>
      </c>
      <c r="C8" s="2">
        <v>3</v>
      </c>
      <c r="D8" s="2">
        <v>2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2</v>
      </c>
      <c r="P8" s="2">
        <v>3</v>
      </c>
      <c r="Q8" s="2">
        <v>3</v>
      </c>
      <c r="R8" s="2">
        <v>3</v>
      </c>
      <c r="S8" s="2">
        <v>3</v>
      </c>
      <c r="T8" s="2">
        <v>2</v>
      </c>
      <c r="U8" s="2">
        <v>3</v>
      </c>
      <c r="V8" s="2">
        <v>2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3</v>
      </c>
      <c r="AD8" s="2">
        <v>2</v>
      </c>
      <c r="AE8" s="7">
        <v>3</v>
      </c>
    </row>
    <row r="9" spans="1:31" x14ac:dyDescent="0.2">
      <c r="A9" s="2" t="s">
        <v>32</v>
      </c>
      <c r="B9" s="2">
        <v>3</v>
      </c>
      <c r="C9" s="2">
        <v>3</v>
      </c>
      <c r="D9" s="2">
        <v>2</v>
      </c>
      <c r="E9" s="2">
        <v>2</v>
      </c>
      <c r="F9" s="2">
        <v>2</v>
      </c>
      <c r="G9" s="2">
        <v>3</v>
      </c>
      <c r="H9" s="2">
        <v>3</v>
      </c>
      <c r="I9" s="2">
        <v>1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1</v>
      </c>
      <c r="P9" s="2">
        <v>2</v>
      </c>
      <c r="Q9" s="2">
        <v>2</v>
      </c>
      <c r="R9" s="2">
        <v>3</v>
      </c>
      <c r="S9" s="2">
        <v>2</v>
      </c>
      <c r="T9" s="2">
        <v>2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2</v>
      </c>
      <c r="AD9" s="2">
        <v>2</v>
      </c>
      <c r="AE9" s="7">
        <v>3</v>
      </c>
    </row>
    <row r="10" spans="1:31" x14ac:dyDescent="0.2">
      <c r="A10" s="2" t="s">
        <v>32</v>
      </c>
      <c r="B10" s="2">
        <v>3</v>
      </c>
      <c r="C10" s="2">
        <v>3</v>
      </c>
      <c r="D10" s="2">
        <v>2</v>
      </c>
      <c r="E10" s="2">
        <v>2</v>
      </c>
      <c r="F10" s="2">
        <v>3</v>
      </c>
      <c r="G10" s="2">
        <v>1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3</v>
      </c>
      <c r="N10" s="2">
        <v>1</v>
      </c>
      <c r="O10" s="2">
        <v>3</v>
      </c>
      <c r="P10" s="2">
        <v>2</v>
      </c>
      <c r="Q10" s="2">
        <v>3</v>
      </c>
      <c r="R10" s="2">
        <v>3</v>
      </c>
      <c r="S10" s="2">
        <v>1</v>
      </c>
      <c r="T10" s="2">
        <v>3</v>
      </c>
      <c r="U10" s="2">
        <v>3</v>
      </c>
      <c r="V10" s="2">
        <v>1</v>
      </c>
      <c r="W10" s="2">
        <v>3</v>
      </c>
      <c r="X10" s="2">
        <v>2</v>
      </c>
      <c r="Y10" s="2">
        <v>3</v>
      </c>
      <c r="Z10" s="2">
        <v>3</v>
      </c>
      <c r="AA10" s="2">
        <v>2</v>
      </c>
      <c r="AB10" s="2">
        <v>2</v>
      </c>
      <c r="AC10" s="2">
        <v>2</v>
      </c>
      <c r="AD10" s="2">
        <v>3</v>
      </c>
      <c r="AE10" s="7">
        <v>3</v>
      </c>
    </row>
    <row r="11" spans="1:31" x14ac:dyDescent="0.2">
      <c r="A11" s="2" t="s">
        <v>32</v>
      </c>
      <c r="B11" s="2">
        <v>3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2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7">
        <v>3</v>
      </c>
    </row>
    <row r="12" spans="1:31" x14ac:dyDescent="0.2">
      <c r="A12" s="2" t="s">
        <v>32</v>
      </c>
      <c r="B12" s="2">
        <v>3</v>
      </c>
      <c r="C12" s="2">
        <v>3</v>
      </c>
      <c r="D12" s="2">
        <v>2</v>
      </c>
      <c r="E12" s="2">
        <v>2</v>
      </c>
      <c r="F12" s="2">
        <v>2</v>
      </c>
      <c r="G12" s="2">
        <v>3</v>
      </c>
      <c r="H12" s="2">
        <v>3</v>
      </c>
      <c r="I12" s="2">
        <v>3</v>
      </c>
      <c r="J12" s="2">
        <v>2</v>
      </c>
      <c r="K12" s="2">
        <v>3</v>
      </c>
      <c r="L12" s="2">
        <v>3</v>
      </c>
      <c r="M12" s="2">
        <v>2</v>
      </c>
      <c r="N12" s="2">
        <v>3</v>
      </c>
      <c r="O12" s="2">
        <v>2</v>
      </c>
      <c r="P12" s="2">
        <v>2</v>
      </c>
      <c r="Q12" s="2">
        <v>3</v>
      </c>
      <c r="R12" s="2">
        <v>3</v>
      </c>
      <c r="S12" s="2">
        <v>2</v>
      </c>
      <c r="T12" s="2">
        <v>3</v>
      </c>
      <c r="U12" s="2">
        <v>2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2</v>
      </c>
      <c r="AB12" s="2">
        <v>3</v>
      </c>
      <c r="AC12" s="2">
        <v>1</v>
      </c>
      <c r="AD12" s="2">
        <v>3</v>
      </c>
      <c r="AE12" s="7">
        <v>3</v>
      </c>
    </row>
    <row r="13" spans="1:31" x14ac:dyDescent="0.2">
      <c r="A13" s="2" t="s">
        <v>32</v>
      </c>
      <c r="B13" s="2">
        <v>3</v>
      </c>
      <c r="C13" s="2">
        <v>3</v>
      </c>
      <c r="D13" s="2">
        <v>2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2</v>
      </c>
      <c r="O13" s="2">
        <v>2</v>
      </c>
      <c r="P13" s="2">
        <v>2</v>
      </c>
      <c r="Q13" s="2">
        <v>3</v>
      </c>
      <c r="R13" s="2">
        <v>3</v>
      </c>
      <c r="S13" s="2">
        <v>2</v>
      </c>
      <c r="T13" s="2">
        <v>2</v>
      </c>
      <c r="U13" s="2">
        <v>3</v>
      </c>
      <c r="V13" s="2">
        <v>2</v>
      </c>
      <c r="W13" s="2">
        <v>3</v>
      </c>
      <c r="X13" s="2">
        <v>3</v>
      </c>
      <c r="Y13" s="2">
        <v>3</v>
      </c>
      <c r="Z13" s="2">
        <v>2</v>
      </c>
      <c r="AA13" s="2">
        <v>3</v>
      </c>
      <c r="AB13" s="2">
        <v>3</v>
      </c>
      <c r="AC13" s="2">
        <v>3</v>
      </c>
      <c r="AD13" s="2">
        <v>2</v>
      </c>
      <c r="AE13" s="7">
        <v>3</v>
      </c>
    </row>
    <row r="14" spans="1:31" x14ac:dyDescent="0.2">
      <c r="A14" s="2" t="s">
        <v>32</v>
      </c>
      <c r="B14" s="2">
        <v>2</v>
      </c>
      <c r="C14" s="2">
        <v>3</v>
      </c>
      <c r="D14" s="2">
        <v>3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3</v>
      </c>
      <c r="M14" s="2">
        <v>2</v>
      </c>
      <c r="N14" s="2">
        <v>3</v>
      </c>
      <c r="O14" s="2">
        <v>2</v>
      </c>
      <c r="P14" s="2">
        <v>2</v>
      </c>
      <c r="Q14" s="2">
        <v>3</v>
      </c>
      <c r="R14" s="2">
        <v>3</v>
      </c>
      <c r="S14" s="2">
        <v>1</v>
      </c>
      <c r="T14" s="2">
        <v>2</v>
      </c>
      <c r="U14" s="2">
        <v>2</v>
      </c>
      <c r="V14" s="2">
        <v>3</v>
      </c>
      <c r="W14" s="2">
        <v>2</v>
      </c>
      <c r="X14" s="2">
        <v>3</v>
      </c>
      <c r="Y14" s="2">
        <v>3</v>
      </c>
      <c r="Z14" s="2">
        <v>2</v>
      </c>
      <c r="AA14" s="2">
        <v>2</v>
      </c>
      <c r="AB14" s="2">
        <v>2</v>
      </c>
      <c r="AC14" s="2">
        <v>3</v>
      </c>
      <c r="AD14" s="2">
        <v>3</v>
      </c>
      <c r="AE14" s="7">
        <v>3</v>
      </c>
    </row>
    <row r="15" spans="1:31" x14ac:dyDescent="0.2">
      <c r="A15" s="2" t="s">
        <v>33</v>
      </c>
      <c r="B15" s="2">
        <v>3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2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7">
        <v>3</v>
      </c>
    </row>
    <row r="16" spans="1:31" x14ac:dyDescent="0.2">
      <c r="A16" s="2" t="s">
        <v>33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2</v>
      </c>
      <c r="O16" s="2">
        <v>2</v>
      </c>
      <c r="P16" s="2">
        <v>2</v>
      </c>
      <c r="Q16" s="2">
        <v>3</v>
      </c>
      <c r="R16" s="2">
        <v>3</v>
      </c>
      <c r="S16" s="2">
        <v>3</v>
      </c>
      <c r="T16" s="2">
        <v>2</v>
      </c>
      <c r="U16" s="2">
        <v>3</v>
      </c>
      <c r="V16" s="2">
        <v>2</v>
      </c>
      <c r="W16" s="2">
        <v>3</v>
      </c>
      <c r="X16" s="2">
        <v>3</v>
      </c>
      <c r="Y16" s="2">
        <v>3</v>
      </c>
      <c r="Z16" s="2">
        <v>3</v>
      </c>
      <c r="AA16" s="2">
        <v>3</v>
      </c>
      <c r="AB16" s="2">
        <v>3</v>
      </c>
      <c r="AC16" s="2">
        <v>2</v>
      </c>
      <c r="AD16" s="2">
        <v>3</v>
      </c>
      <c r="AE16" s="7">
        <v>3</v>
      </c>
    </row>
    <row r="17" spans="1:31" x14ac:dyDescent="0.2">
      <c r="A17" s="2" t="s">
        <v>33</v>
      </c>
      <c r="B17" s="2">
        <v>3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3</v>
      </c>
      <c r="R17" s="2">
        <v>3</v>
      </c>
      <c r="S17" s="2">
        <v>3</v>
      </c>
      <c r="T17" s="2">
        <v>3</v>
      </c>
      <c r="U17" s="2">
        <v>3</v>
      </c>
      <c r="V17" s="2">
        <v>3</v>
      </c>
      <c r="W17" s="2">
        <v>3</v>
      </c>
      <c r="X17" s="2">
        <v>3</v>
      </c>
      <c r="Y17" s="2">
        <v>3</v>
      </c>
      <c r="Z17" s="2">
        <v>3</v>
      </c>
      <c r="AA17" s="2">
        <v>3</v>
      </c>
      <c r="AB17" s="2">
        <v>3</v>
      </c>
      <c r="AC17" s="2">
        <v>3</v>
      </c>
      <c r="AD17" s="2">
        <v>3</v>
      </c>
      <c r="AE17" s="7">
        <v>3</v>
      </c>
    </row>
    <row r="18" spans="1:31" x14ac:dyDescent="0.2">
      <c r="A18" s="2" t="s">
        <v>33</v>
      </c>
      <c r="B18" s="2">
        <v>3</v>
      </c>
      <c r="C18" s="2">
        <v>3</v>
      </c>
      <c r="D18" s="2">
        <v>3</v>
      </c>
      <c r="E18" s="2">
        <v>2</v>
      </c>
      <c r="F18" s="2">
        <v>2</v>
      </c>
      <c r="G18" s="2">
        <v>3</v>
      </c>
      <c r="H18" s="2">
        <v>3</v>
      </c>
      <c r="I18" s="2">
        <v>3</v>
      </c>
      <c r="J18" s="2">
        <v>2</v>
      </c>
      <c r="K18" s="2">
        <v>2</v>
      </c>
      <c r="L18" s="2">
        <v>2</v>
      </c>
      <c r="M18" s="2">
        <v>3</v>
      </c>
      <c r="N18" s="2">
        <v>2</v>
      </c>
      <c r="O18" s="2">
        <v>3</v>
      </c>
      <c r="P18" s="2">
        <v>3</v>
      </c>
      <c r="Q18" s="2">
        <v>2</v>
      </c>
      <c r="R18" s="2">
        <v>3</v>
      </c>
      <c r="S18" s="2">
        <v>1</v>
      </c>
      <c r="T18" s="2">
        <v>2</v>
      </c>
      <c r="U18" s="2">
        <v>3</v>
      </c>
      <c r="V18" s="2">
        <v>3</v>
      </c>
      <c r="W18" s="2">
        <v>3</v>
      </c>
      <c r="X18" s="2">
        <v>3</v>
      </c>
      <c r="Y18" s="2">
        <v>2</v>
      </c>
      <c r="Z18" s="2">
        <v>3</v>
      </c>
      <c r="AA18" s="2">
        <v>3</v>
      </c>
      <c r="AB18" s="2">
        <v>2</v>
      </c>
      <c r="AC18" s="2">
        <v>2</v>
      </c>
      <c r="AD18" s="2">
        <v>3</v>
      </c>
      <c r="AE18" s="7">
        <v>3</v>
      </c>
    </row>
    <row r="19" spans="1:31" x14ac:dyDescent="0.2">
      <c r="A19" s="2" t="s">
        <v>33</v>
      </c>
      <c r="B19" s="2">
        <v>3</v>
      </c>
      <c r="C19" s="2">
        <v>3</v>
      </c>
      <c r="D19" s="2">
        <v>3</v>
      </c>
      <c r="E19" s="2">
        <v>2</v>
      </c>
      <c r="F19" s="2">
        <v>3</v>
      </c>
      <c r="G19" s="2">
        <v>3</v>
      </c>
      <c r="H19" s="2">
        <v>3</v>
      </c>
      <c r="I19" s="2">
        <v>3</v>
      </c>
      <c r="J19" s="2">
        <v>2</v>
      </c>
      <c r="K19" s="2">
        <v>2</v>
      </c>
      <c r="L19" s="2">
        <v>3</v>
      </c>
      <c r="M19" s="2">
        <v>3</v>
      </c>
      <c r="N19" s="2">
        <v>3</v>
      </c>
      <c r="O19" s="2">
        <v>2</v>
      </c>
      <c r="P19" s="2">
        <v>2</v>
      </c>
      <c r="Q19" s="2">
        <v>2</v>
      </c>
      <c r="R19" s="2">
        <v>3</v>
      </c>
      <c r="S19" s="2">
        <v>2</v>
      </c>
      <c r="T19" s="2">
        <v>2</v>
      </c>
      <c r="U19" s="2">
        <v>3</v>
      </c>
      <c r="V19" s="2">
        <v>1</v>
      </c>
      <c r="W19" s="2">
        <v>3</v>
      </c>
      <c r="X19" s="2">
        <v>3</v>
      </c>
      <c r="Y19" s="2">
        <v>3</v>
      </c>
      <c r="Z19" s="2">
        <v>3</v>
      </c>
      <c r="AA19" s="2">
        <v>3</v>
      </c>
      <c r="AB19" s="2">
        <v>3</v>
      </c>
      <c r="AC19" s="2">
        <v>3</v>
      </c>
      <c r="AD19" s="2">
        <v>2</v>
      </c>
      <c r="AE19" s="7">
        <v>3</v>
      </c>
    </row>
    <row r="20" spans="1:31" x14ac:dyDescent="0.2">
      <c r="A20" s="2" t="s">
        <v>33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2">
        <v>2</v>
      </c>
      <c r="H20" s="2">
        <v>3</v>
      </c>
      <c r="I20" s="2">
        <v>3</v>
      </c>
      <c r="J20" s="2">
        <v>1</v>
      </c>
      <c r="K20" s="2">
        <v>1</v>
      </c>
      <c r="L20" s="2">
        <v>2</v>
      </c>
      <c r="M20" s="2">
        <v>3</v>
      </c>
      <c r="N20" s="2">
        <v>1</v>
      </c>
      <c r="O20" s="2">
        <v>1</v>
      </c>
      <c r="P20" s="2">
        <v>2</v>
      </c>
      <c r="Q20" s="2">
        <v>2</v>
      </c>
      <c r="R20" s="2">
        <v>3</v>
      </c>
      <c r="S20" s="2">
        <v>1</v>
      </c>
      <c r="T20" s="2">
        <v>2</v>
      </c>
      <c r="U20" s="2">
        <v>2</v>
      </c>
      <c r="V20" s="2">
        <v>2</v>
      </c>
      <c r="W20" s="2">
        <v>3</v>
      </c>
      <c r="X20" s="2">
        <v>3</v>
      </c>
      <c r="Y20" s="2">
        <v>2</v>
      </c>
      <c r="Z20" s="2">
        <v>1</v>
      </c>
      <c r="AA20" s="2">
        <v>2</v>
      </c>
      <c r="AB20" s="2">
        <v>3</v>
      </c>
      <c r="AC20" s="2">
        <v>2</v>
      </c>
      <c r="AD20" s="2">
        <v>2</v>
      </c>
      <c r="AE20" s="7">
        <v>3</v>
      </c>
    </row>
    <row r="21" spans="1:31" x14ac:dyDescent="0.2">
      <c r="A21" s="2" t="s">
        <v>33</v>
      </c>
      <c r="B21" s="2">
        <v>3</v>
      </c>
      <c r="C21" s="2">
        <v>3</v>
      </c>
      <c r="D21" s="2">
        <v>2</v>
      </c>
      <c r="E21" s="2">
        <v>1</v>
      </c>
      <c r="F21" s="2">
        <v>3</v>
      </c>
      <c r="G21" s="2">
        <v>3</v>
      </c>
      <c r="H21" s="2">
        <v>3</v>
      </c>
      <c r="I21" s="2">
        <v>3</v>
      </c>
      <c r="J21" s="2">
        <v>2</v>
      </c>
      <c r="K21" s="2">
        <v>2</v>
      </c>
      <c r="L21" s="2">
        <v>3</v>
      </c>
      <c r="M21" s="2">
        <v>3</v>
      </c>
      <c r="N21" s="2">
        <v>2</v>
      </c>
      <c r="O21" s="2">
        <v>3</v>
      </c>
      <c r="P21" s="2">
        <v>3</v>
      </c>
      <c r="Q21" s="2">
        <v>3</v>
      </c>
      <c r="R21" s="2">
        <v>3</v>
      </c>
      <c r="S21" s="2">
        <v>3</v>
      </c>
      <c r="T21" s="2">
        <v>3</v>
      </c>
      <c r="U21" s="2">
        <v>3</v>
      </c>
      <c r="V21" s="2">
        <v>1</v>
      </c>
      <c r="W21" s="2">
        <v>3</v>
      </c>
      <c r="X21" s="2">
        <v>3</v>
      </c>
      <c r="Y21" s="2">
        <v>3</v>
      </c>
      <c r="Z21" s="2">
        <v>3</v>
      </c>
      <c r="AA21" s="2">
        <v>3</v>
      </c>
      <c r="AB21" s="2">
        <v>2</v>
      </c>
      <c r="AC21" s="2">
        <v>3</v>
      </c>
      <c r="AD21" s="2">
        <v>3</v>
      </c>
      <c r="AE21" s="7">
        <v>3</v>
      </c>
    </row>
    <row r="22" spans="1:31" x14ac:dyDescent="0.2">
      <c r="A22" s="2" t="s">
        <v>31</v>
      </c>
      <c r="B22" s="2">
        <v>2</v>
      </c>
      <c r="C22" s="2">
        <v>3</v>
      </c>
      <c r="D22" s="2">
        <v>2</v>
      </c>
      <c r="E22" s="2">
        <v>2</v>
      </c>
      <c r="F22" s="2">
        <v>1</v>
      </c>
      <c r="G22" s="2">
        <v>3</v>
      </c>
      <c r="H22" s="2">
        <v>3</v>
      </c>
      <c r="I22" s="2">
        <v>3</v>
      </c>
      <c r="J22" s="2">
        <v>2</v>
      </c>
      <c r="K22" s="2">
        <v>2</v>
      </c>
      <c r="L22" s="2">
        <v>3</v>
      </c>
      <c r="M22" s="2">
        <v>3</v>
      </c>
      <c r="N22" s="2">
        <v>1</v>
      </c>
      <c r="O22" s="2">
        <v>1</v>
      </c>
      <c r="P22" s="2">
        <v>2</v>
      </c>
      <c r="Q22" s="2">
        <v>2</v>
      </c>
      <c r="R22" s="2">
        <v>3</v>
      </c>
      <c r="S22" s="2">
        <v>2</v>
      </c>
      <c r="T22" s="2">
        <v>2</v>
      </c>
      <c r="U22" s="2">
        <v>2</v>
      </c>
      <c r="V22" s="2">
        <v>2</v>
      </c>
      <c r="W22" s="2">
        <v>3</v>
      </c>
      <c r="X22" s="2">
        <v>2</v>
      </c>
      <c r="Y22" s="2">
        <v>3</v>
      </c>
      <c r="Z22" s="2">
        <v>3</v>
      </c>
      <c r="AA22" s="2">
        <v>2</v>
      </c>
      <c r="AB22" s="2">
        <v>2</v>
      </c>
      <c r="AC22" s="2">
        <v>3</v>
      </c>
      <c r="AD22" s="2">
        <v>3</v>
      </c>
      <c r="AE22" s="7">
        <v>3</v>
      </c>
    </row>
    <row r="23" spans="1:31" x14ac:dyDescent="0.2">
      <c r="A23" s="2" t="s">
        <v>31</v>
      </c>
      <c r="B23" s="2">
        <v>2</v>
      </c>
      <c r="C23" s="2">
        <v>3</v>
      </c>
      <c r="D23" s="2">
        <v>3</v>
      </c>
      <c r="E23" s="2">
        <v>2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2</v>
      </c>
      <c r="L23" s="2">
        <v>3</v>
      </c>
      <c r="M23" s="2">
        <v>3</v>
      </c>
      <c r="N23" s="2">
        <v>3</v>
      </c>
      <c r="O23" s="2">
        <v>3</v>
      </c>
      <c r="P23" s="2">
        <v>2</v>
      </c>
      <c r="Q23" s="2">
        <v>2</v>
      </c>
      <c r="R23" s="2">
        <v>3</v>
      </c>
      <c r="S23" s="2">
        <v>1</v>
      </c>
      <c r="T23" s="2">
        <v>1</v>
      </c>
      <c r="U23" s="2">
        <v>2</v>
      </c>
      <c r="V23" s="2">
        <v>2</v>
      </c>
      <c r="W23" s="2">
        <v>3</v>
      </c>
      <c r="X23" s="2">
        <v>2</v>
      </c>
      <c r="Y23" s="2">
        <v>2</v>
      </c>
      <c r="Z23" s="2">
        <v>3</v>
      </c>
      <c r="AA23" s="2">
        <v>2</v>
      </c>
      <c r="AB23" s="2">
        <v>2</v>
      </c>
      <c r="AC23" s="2">
        <v>2</v>
      </c>
      <c r="AD23" s="2">
        <v>1</v>
      </c>
      <c r="AE23" s="7">
        <v>2</v>
      </c>
    </row>
    <row r="24" spans="1:31" x14ac:dyDescent="0.2">
      <c r="A24" s="2" t="s">
        <v>31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2</v>
      </c>
      <c r="K24" s="2">
        <v>2</v>
      </c>
      <c r="L24" s="2">
        <v>3</v>
      </c>
      <c r="M24" s="2">
        <v>2</v>
      </c>
      <c r="N24" s="2">
        <v>2</v>
      </c>
      <c r="O24" s="2">
        <v>2</v>
      </c>
      <c r="P24" s="2">
        <v>2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2</v>
      </c>
      <c r="W24" s="2">
        <v>3</v>
      </c>
      <c r="X24" s="2">
        <v>3</v>
      </c>
      <c r="Y24" s="2">
        <v>3</v>
      </c>
      <c r="Z24" s="2">
        <v>2</v>
      </c>
      <c r="AA24" s="2">
        <v>2</v>
      </c>
      <c r="AB24" s="2">
        <v>2</v>
      </c>
      <c r="AC24" s="2">
        <v>3</v>
      </c>
      <c r="AD24" s="2">
        <v>2</v>
      </c>
      <c r="AE24" s="7">
        <v>3</v>
      </c>
    </row>
    <row r="25" spans="1:31" x14ac:dyDescent="0.2">
      <c r="A25" s="2" t="s">
        <v>31</v>
      </c>
      <c r="B25" s="2">
        <v>3</v>
      </c>
      <c r="C25" s="2">
        <v>3</v>
      </c>
      <c r="D25" s="2">
        <v>2</v>
      </c>
      <c r="E25" s="2">
        <v>2</v>
      </c>
      <c r="F25" s="2">
        <v>2</v>
      </c>
      <c r="G25" s="2">
        <v>2</v>
      </c>
      <c r="H25" s="2">
        <v>3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3</v>
      </c>
      <c r="U25" s="2">
        <v>3</v>
      </c>
      <c r="V25" s="2">
        <v>2</v>
      </c>
      <c r="W25" s="2">
        <v>3</v>
      </c>
      <c r="X25" s="2">
        <v>3</v>
      </c>
      <c r="Y25" s="2">
        <v>2</v>
      </c>
      <c r="Z25" s="2">
        <v>2</v>
      </c>
      <c r="AA25" s="2">
        <v>2</v>
      </c>
      <c r="AB25" s="2">
        <v>2</v>
      </c>
      <c r="AC25" s="2">
        <v>2</v>
      </c>
      <c r="AD25" s="2">
        <v>2</v>
      </c>
      <c r="AE25" s="7">
        <v>2</v>
      </c>
    </row>
    <row r="26" spans="1:31" x14ac:dyDescent="0.2">
      <c r="A26" s="2" t="s">
        <v>31</v>
      </c>
      <c r="B26" s="2">
        <v>3</v>
      </c>
      <c r="C26" s="2">
        <v>3</v>
      </c>
      <c r="D26" s="2">
        <v>3</v>
      </c>
      <c r="E26" s="2">
        <v>3</v>
      </c>
      <c r="F26" s="2">
        <v>1</v>
      </c>
      <c r="G26" s="2">
        <v>3</v>
      </c>
      <c r="H26" s="2">
        <v>3</v>
      </c>
      <c r="I26" s="2">
        <v>2</v>
      </c>
      <c r="J26" s="2">
        <v>2</v>
      </c>
      <c r="K26" s="2">
        <v>3</v>
      </c>
      <c r="L26" s="2">
        <v>2</v>
      </c>
      <c r="M26" s="2">
        <v>2</v>
      </c>
      <c r="N26" s="2">
        <v>1</v>
      </c>
      <c r="O26" s="2">
        <v>3</v>
      </c>
      <c r="P26" s="2">
        <v>2</v>
      </c>
      <c r="Q26" s="2">
        <v>2</v>
      </c>
      <c r="R26" s="2">
        <v>3</v>
      </c>
      <c r="S26" s="2">
        <v>2</v>
      </c>
      <c r="T26" s="2">
        <v>3</v>
      </c>
      <c r="U26" s="2">
        <v>3</v>
      </c>
      <c r="V26" s="2">
        <v>3</v>
      </c>
      <c r="W26" s="2">
        <v>3</v>
      </c>
      <c r="X26" s="2">
        <v>2</v>
      </c>
      <c r="Y26" s="2">
        <v>1</v>
      </c>
      <c r="Z26" s="2">
        <v>2</v>
      </c>
      <c r="AA26" s="2">
        <v>3</v>
      </c>
      <c r="AB26" s="2">
        <v>3</v>
      </c>
      <c r="AC26" s="2">
        <v>2</v>
      </c>
      <c r="AD26" s="2">
        <v>3</v>
      </c>
      <c r="AE26" s="7">
        <v>3</v>
      </c>
    </row>
    <row r="27" spans="1:31" x14ac:dyDescent="0.2">
      <c r="A27" s="2" t="s">
        <v>31</v>
      </c>
      <c r="B27" s="2">
        <v>3</v>
      </c>
      <c r="C27" s="2">
        <v>3</v>
      </c>
      <c r="D27" s="2">
        <v>3</v>
      </c>
      <c r="E27" s="2">
        <v>2</v>
      </c>
      <c r="F27" s="2">
        <v>3</v>
      </c>
      <c r="G27" s="2">
        <v>2</v>
      </c>
      <c r="H27" s="2">
        <v>1</v>
      </c>
      <c r="I27" s="2">
        <v>3</v>
      </c>
      <c r="J27" s="2">
        <v>2</v>
      </c>
      <c r="K27" s="2">
        <v>2</v>
      </c>
      <c r="L27" s="2">
        <v>3</v>
      </c>
      <c r="M27" s="2">
        <v>3</v>
      </c>
      <c r="N27" s="2">
        <v>2</v>
      </c>
      <c r="O27" s="2">
        <v>2</v>
      </c>
      <c r="P27" s="2">
        <v>2</v>
      </c>
      <c r="Q27" s="2">
        <v>1</v>
      </c>
      <c r="R27" s="2">
        <v>3</v>
      </c>
      <c r="S27" s="2">
        <v>1</v>
      </c>
      <c r="T27" s="2">
        <v>3</v>
      </c>
      <c r="U27" s="2">
        <v>2</v>
      </c>
      <c r="V27" s="2">
        <v>1</v>
      </c>
      <c r="W27" s="2">
        <v>2</v>
      </c>
      <c r="X27" s="2">
        <v>2</v>
      </c>
      <c r="Y27" s="2">
        <v>3</v>
      </c>
      <c r="Z27" s="2">
        <v>2</v>
      </c>
      <c r="AA27" s="2">
        <v>1</v>
      </c>
      <c r="AB27" s="2">
        <v>2</v>
      </c>
      <c r="AC27" s="2">
        <v>2</v>
      </c>
      <c r="AD27" s="2">
        <v>2</v>
      </c>
      <c r="AE27" s="7">
        <v>3</v>
      </c>
    </row>
    <row r="28" spans="1:31" x14ac:dyDescent="0.2">
      <c r="A28" s="2" t="s">
        <v>31</v>
      </c>
      <c r="B28" s="2">
        <v>2</v>
      </c>
      <c r="C28" s="2">
        <v>2</v>
      </c>
      <c r="D28" s="2">
        <v>2</v>
      </c>
      <c r="E28" s="2">
        <v>1</v>
      </c>
      <c r="F28" s="2">
        <v>2</v>
      </c>
      <c r="G28" s="2">
        <v>3</v>
      </c>
      <c r="H28" s="2">
        <v>2</v>
      </c>
      <c r="I28" s="2">
        <v>2</v>
      </c>
      <c r="J28" s="2">
        <v>3</v>
      </c>
      <c r="K28" s="2">
        <v>2</v>
      </c>
      <c r="L28" s="2">
        <v>3</v>
      </c>
      <c r="M28" s="2">
        <v>1</v>
      </c>
      <c r="N28" s="2">
        <v>2</v>
      </c>
      <c r="O28" s="2">
        <v>3</v>
      </c>
      <c r="P28" s="2">
        <v>2</v>
      </c>
      <c r="Q28" s="2">
        <v>2</v>
      </c>
      <c r="R28" s="2">
        <v>3</v>
      </c>
      <c r="S28" s="2">
        <v>1</v>
      </c>
      <c r="T28" s="2">
        <v>3</v>
      </c>
      <c r="U28" s="2">
        <v>2</v>
      </c>
      <c r="V28" s="2">
        <v>2</v>
      </c>
      <c r="W28" s="2">
        <v>3</v>
      </c>
      <c r="X28" s="2">
        <v>2</v>
      </c>
      <c r="Y28" s="2">
        <v>1</v>
      </c>
      <c r="Z28" s="2">
        <v>2</v>
      </c>
      <c r="AA28" s="2">
        <v>2</v>
      </c>
      <c r="AB28" s="2">
        <v>2</v>
      </c>
      <c r="AC28" s="2">
        <v>3</v>
      </c>
      <c r="AD28" s="2">
        <v>3</v>
      </c>
      <c r="AE28" s="7">
        <v>3</v>
      </c>
    </row>
    <row r="29" spans="1:31" x14ac:dyDescent="0.2">
      <c r="A29" s="2" t="s">
        <v>31</v>
      </c>
      <c r="B29" s="2">
        <v>3</v>
      </c>
      <c r="C29" s="2">
        <v>2</v>
      </c>
      <c r="D29" s="2">
        <v>3</v>
      </c>
      <c r="E29" s="2">
        <v>3</v>
      </c>
      <c r="F29" s="2">
        <v>3</v>
      </c>
      <c r="G29" s="2">
        <v>2</v>
      </c>
      <c r="H29" s="2">
        <v>1</v>
      </c>
      <c r="I29" s="2">
        <v>3</v>
      </c>
      <c r="J29" s="2">
        <v>1</v>
      </c>
      <c r="K29" s="2">
        <v>2</v>
      </c>
      <c r="L29" s="2">
        <v>3</v>
      </c>
      <c r="M29" s="2">
        <v>3</v>
      </c>
      <c r="N29" s="2">
        <v>3</v>
      </c>
      <c r="O29" s="2">
        <v>3</v>
      </c>
      <c r="P29" s="2">
        <v>1</v>
      </c>
      <c r="Q29" s="2">
        <v>3</v>
      </c>
      <c r="R29" s="2">
        <v>3</v>
      </c>
      <c r="S29" s="2">
        <v>1</v>
      </c>
      <c r="T29" s="2">
        <v>3</v>
      </c>
      <c r="U29" s="2">
        <v>3</v>
      </c>
      <c r="V29" s="2">
        <v>2</v>
      </c>
      <c r="W29" s="2">
        <v>3</v>
      </c>
      <c r="X29" s="2">
        <v>2</v>
      </c>
      <c r="Y29" s="2">
        <v>3</v>
      </c>
      <c r="Z29" s="2">
        <v>1</v>
      </c>
      <c r="AA29" s="2">
        <v>3</v>
      </c>
      <c r="AB29" s="2">
        <v>2</v>
      </c>
      <c r="AC29" s="2">
        <v>1</v>
      </c>
      <c r="AD29" s="2">
        <v>2</v>
      </c>
      <c r="AE29" s="7">
        <v>3</v>
      </c>
    </row>
    <row r="30" spans="1:31" x14ac:dyDescent="0.2">
      <c r="A30" s="2" t="s">
        <v>31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>
        <v>2</v>
      </c>
      <c r="K30" s="2">
        <v>2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 s="2">
        <v>3</v>
      </c>
      <c r="R30" s="2">
        <v>3</v>
      </c>
      <c r="S30" s="2">
        <v>1</v>
      </c>
      <c r="T30" s="2">
        <v>3</v>
      </c>
      <c r="U30" s="2">
        <v>3</v>
      </c>
      <c r="V30" s="2">
        <v>2</v>
      </c>
      <c r="W30" s="2">
        <v>3</v>
      </c>
      <c r="X30" s="2">
        <v>3</v>
      </c>
      <c r="Y30" s="2">
        <v>2</v>
      </c>
      <c r="Z30" s="2">
        <v>1</v>
      </c>
      <c r="AA30" s="2">
        <v>3</v>
      </c>
      <c r="AB30" s="2">
        <v>2</v>
      </c>
      <c r="AC30" s="2">
        <v>3</v>
      </c>
      <c r="AD30" s="2">
        <v>3</v>
      </c>
      <c r="AE30" s="7">
        <v>3</v>
      </c>
    </row>
    <row r="31" spans="1:31" x14ac:dyDescent="0.2">
      <c r="A31" s="2" t="s">
        <v>31</v>
      </c>
      <c r="B31" s="2">
        <v>3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7">
        <v>3</v>
      </c>
    </row>
    <row r="32" spans="1:31" x14ac:dyDescent="0.2">
      <c r="A32" s="2" t="s">
        <v>31</v>
      </c>
      <c r="B32" s="2">
        <v>3</v>
      </c>
      <c r="C32" s="2">
        <v>3</v>
      </c>
      <c r="D32" s="2">
        <v>3</v>
      </c>
      <c r="E32" s="2">
        <v>2</v>
      </c>
      <c r="F32" s="2">
        <v>2</v>
      </c>
      <c r="G32" s="2">
        <v>3</v>
      </c>
      <c r="H32" s="2">
        <v>3</v>
      </c>
      <c r="I32" s="2">
        <v>3</v>
      </c>
      <c r="J32" s="2">
        <v>3</v>
      </c>
      <c r="K32" s="2">
        <v>2</v>
      </c>
      <c r="L32" s="2">
        <v>3</v>
      </c>
      <c r="M32" s="2">
        <v>2</v>
      </c>
      <c r="N32" s="2">
        <v>3</v>
      </c>
      <c r="O32" s="2">
        <v>3</v>
      </c>
      <c r="P32" s="2">
        <v>2</v>
      </c>
      <c r="Q32" s="2">
        <v>2</v>
      </c>
      <c r="R32" s="2">
        <v>3</v>
      </c>
      <c r="S32" s="2">
        <v>2</v>
      </c>
      <c r="T32" s="2">
        <v>3</v>
      </c>
      <c r="U32" s="2">
        <v>3</v>
      </c>
      <c r="V32" s="2">
        <v>3</v>
      </c>
      <c r="W32" s="2">
        <v>3</v>
      </c>
      <c r="X32" s="2">
        <v>2</v>
      </c>
      <c r="Y32" s="2">
        <v>3</v>
      </c>
      <c r="Z32" s="2">
        <v>3</v>
      </c>
      <c r="AA32" s="2">
        <v>3</v>
      </c>
      <c r="AB32" s="2">
        <v>2</v>
      </c>
      <c r="AC32" s="2">
        <v>3</v>
      </c>
      <c r="AD32" s="2">
        <v>3</v>
      </c>
      <c r="AE32" s="7">
        <v>3</v>
      </c>
    </row>
    <row r="33" spans="1:31" x14ac:dyDescent="0.2">
      <c r="A33" s="2" t="s">
        <v>31</v>
      </c>
      <c r="B33" s="2">
        <v>2</v>
      </c>
      <c r="C33" s="2">
        <v>3</v>
      </c>
      <c r="D33" s="2">
        <v>3</v>
      </c>
      <c r="E33" s="2">
        <v>1</v>
      </c>
      <c r="F33" s="2">
        <v>1</v>
      </c>
      <c r="G33" s="2">
        <v>2</v>
      </c>
      <c r="H33" s="2">
        <v>2</v>
      </c>
      <c r="I33" s="2">
        <v>1</v>
      </c>
      <c r="J33" s="2">
        <v>3</v>
      </c>
      <c r="K33" s="2">
        <v>1</v>
      </c>
      <c r="L33" s="2">
        <v>3</v>
      </c>
      <c r="M33" s="2">
        <v>1</v>
      </c>
      <c r="N33" s="2">
        <v>2</v>
      </c>
      <c r="O33" s="2">
        <v>2</v>
      </c>
      <c r="P33" s="2">
        <v>2</v>
      </c>
      <c r="Q33" s="2">
        <v>2</v>
      </c>
      <c r="R33" s="2">
        <v>3</v>
      </c>
      <c r="S33" s="2">
        <v>1</v>
      </c>
      <c r="T33" s="2">
        <v>3</v>
      </c>
      <c r="U33" s="2">
        <v>3</v>
      </c>
      <c r="V33" s="2">
        <v>2</v>
      </c>
      <c r="W33" s="2">
        <v>2</v>
      </c>
      <c r="X33" s="2">
        <v>1</v>
      </c>
      <c r="Y33" s="2">
        <v>2</v>
      </c>
      <c r="Z33" s="2">
        <v>2</v>
      </c>
      <c r="AA33" s="2">
        <v>3</v>
      </c>
      <c r="AB33" s="2">
        <v>2</v>
      </c>
      <c r="AC33" s="2">
        <v>1</v>
      </c>
      <c r="AD33" s="2">
        <v>2</v>
      </c>
      <c r="AE33" s="7">
        <v>3</v>
      </c>
    </row>
    <row r="34" spans="1:31" x14ac:dyDescent="0.2">
      <c r="A34" s="2" t="s">
        <v>31</v>
      </c>
      <c r="B34" s="2">
        <v>3</v>
      </c>
      <c r="C34" s="2">
        <v>3</v>
      </c>
      <c r="D34" s="2">
        <v>2</v>
      </c>
      <c r="E34" s="2">
        <v>3</v>
      </c>
      <c r="F34" s="2">
        <v>3</v>
      </c>
      <c r="G34" s="2">
        <v>2</v>
      </c>
      <c r="H34" s="2">
        <v>2</v>
      </c>
      <c r="I34" s="2">
        <v>3</v>
      </c>
      <c r="J34" s="2">
        <v>3</v>
      </c>
      <c r="K34" s="2">
        <v>2</v>
      </c>
      <c r="L34" s="2">
        <v>3</v>
      </c>
      <c r="M34" s="2">
        <v>2</v>
      </c>
      <c r="N34" s="2">
        <v>2</v>
      </c>
      <c r="O34" s="2">
        <v>3</v>
      </c>
      <c r="P34" s="2">
        <v>3</v>
      </c>
      <c r="Q34" s="2">
        <v>3</v>
      </c>
      <c r="R34" s="2">
        <v>3</v>
      </c>
      <c r="S34" s="2">
        <v>2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2</v>
      </c>
      <c r="AC34" s="2">
        <v>2</v>
      </c>
      <c r="AD34" s="2">
        <v>3</v>
      </c>
      <c r="AE34" s="7">
        <v>3</v>
      </c>
    </row>
    <row r="35" spans="1:31" x14ac:dyDescent="0.2">
      <c r="A35" s="2" t="s">
        <v>31</v>
      </c>
      <c r="B35" s="2">
        <v>3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2">
        <v>2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3</v>
      </c>
      <c r="U35" s="2">
        <v>3</v>
      </c>
      <c r="V35" s="2">
        <v>2</v>
      </c>
      <c r="W35" s="2">
        <v>3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7">
        <v>3</v>
      </c>
    </row>
    <row r="36" spans="1:31" x14ac:dyDescent="0.2">
      <c r="A36" s="2" t="s">
        <v>31</v>
      </c>
      <c r="B36" s="2">
        <v>1</v>
      </c>
      <c r="C36" s="2">
        <v>3</v>
      </c>
      <c r="D36" s="2">
        <v>2</v>
      </c>
      <c r="E36" s="2">
        <v>1</v>
      </c>
      <c r="F36" s="2">
        <v>2</v>
      </c>
      <c r="G36" s="2">
        <v>2</v>
      </c>
      <c r="H36" s="2">
        <v>2</v>
      </c>
      <c r="I36" s="2">
        <v>3</v>
      </c>
      <c r="J36" s="2">
        <v>2</v>
      </c>
      <c r="K36" s="2">
        <v>1</v>
      </c>
      <c r="L36" s="2">
        <v>2</v>
      </c>
      <c r="M36" s="2">
        <v>2</v>
      </c>
      <c r="N36" s="2">
        <v>2</v>
      </c>
      <c r="O36" s="2">
        <v>2</v>
      </c>
      <c r="P36" s="2">
        <v>2</v>
      </c>
      <c r="Q36" s="2">
        <v>2</v>
      </c>
      <c r="R36" s="2">
        <v>2</v>
      </c>
      <c r="S36" s="2">
        <v>1</v>
      </c>
      <c r="T36" s="2">
        <v>2</v>
      </c>
      <c r="U36" s="2">
        <v>2</v>
      </c>
      <c r="V36" s="2">
        <v>2</v>
      </c>
      <c r="W36" s="2">
        <v>2</v>
      </c>
      <c r="X36" s="2">
        <v>3</v>
      </c>
      <c r="Y36" s="2">
        <v>3</v>
      </c>
      <c r="Z36" s="2">
        <v>3</v>
      </c>
      <c r="AA36" s="2">
        <v>2</v>
      </c>
      <c r="AB36" s="2">
        <v>2</v>
      </c>
      <c r="AC36" s="2">
        <v>3</v>
      </c>
      <c r="AD36" s="2">
        <v>2</v>
      </c>
      <c r="AE36" s="7">
        <v>3</v>
      </c>
    </row>
    <row r="37" spans="1:31" x14ac:dyDescent="0.2">
      <c r="A37" s="2" t="s">
        <v>31</v>
      </c>
      <c r="B37" s="2">
        <v>3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2</v>
      </c>
      <c r="K37" s="2">
        <v>2</v>
      </c>
      <c r="L37" s="2">
        <v>3</v>
      </c>
      <c r="M37" s="2">
        <v>3</v>
      </c>
      <c r="N37" s="2">
        <v>2</v>
      </c>
      <c r="O37" s="2">
        <v>3</v>
      </c>
      <c r="P37" s="2">
        <v>1</v>
      </c>
      <c r="Q37" s="2">
        <v>2</v>
      </c>
      <c r="R37" s="2">
        <v>3</v>
      </c>
      <c r="S37" s="2">
        <v>1</v>
      </c>
      <c r="T37" s="2">
        <v>3</v>
      </c>
      <c r="U37" s="2">
        <v>3</v>
      </c>
      <c r="V37" s="2">
        <v>1</v>
      </c>
      <c r="W37" s="2">
        <v>3</v>
      </c>
      <c r="X37" s="2">
        <v>2</v>
      </c>
      <c r="Y37" s="2">
        <v>3</v>
      </c>
      <c r="Z37" s="2">
        <v>2</v>
      </c>
      <c r="AA37" s="2">
        <v>2</v>
      </c>
      <c r="AB37" s="2">
        <v>3</v>
      </c>
      <c r="AC37" s="2">
        <v>3</v>
      </c>
      <c r="AD37" s="2">
        <v>2</v>
      </c>
      <c r="AE37" s="7">
        <v>2</v>
      </c>
    </row>
    <row r="38" spans="1:31" x14ac:dyDescent="0.2">
      <c r="A38" s="2" t="s">
        <v>31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2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2</v>
      </c>
      <c r="AD38" s="2">
        <v>3</v>
      </c>
      <c r="AE38" s="7">
        <v>3</v>
      </c>
    </row>
    <row r="39" spans="1:31" x14ac:dyDescent="0.2">
      <c r="A39" s="2" t="s">
        <v>31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2</v>
      </c>
      <c r="T39" s="2">
        <v>3</v>
      </c>
      <c r="U39" s="2">
        <v>3</v>
      </c>
      <c r="V39" s="2">
        <v>2</v>
      </c>
      <c r="W39" s="2">
        <v>3</v>
      </c>
      <c r="X39" s="2">
        <v>3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7">
        <v>3</v>
      </c>
    </row>
    <row r="40" spans="1:31" x14ac:dyDescent="0.2">
      <c r="A40" s="2" t="s">
        <v>31</v>
      </c>
      <c r="B40" s="2">
        <v>3</v>
      </c>
      <c r="C40" s="2">
        <v>3</v>
      </c>
      <c r="D40" s="2">
        <v>3</v>
      </c>
      <c r="E40" s="2">
        <v>3</v>
      </c>
      <c r="F40" s="2">
        <v>2</v>
      </c>
      <c r="G40" s="2">
        <v>3</v>
      </c>
      <c r="H40" s="2">
        <v>3</v>
      </c>
      <c r="I40" s="2">
        <v>3</v>
      </c>
      <c r="J40" s="2">
        <v>3</v>
      </c>
      <c r="K40" s="2">
        <v>3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2</v>
      </c>
      <c r="R40" s="2">
        <v>3</v>
      </c>
      <c r="S40" s="2">
        <v>3</v>
      </c>
      <c r="T40" s="2">
        <v>3</v>
      </c>
      <c r="U40" s="2">
        <v>3</v>
      </c>
      <c r="V40" s="2">
        <v>3</v>
      </c>
      <c r="W40" s="2">
        <v>3</v>
      </c>
      <c r="X40" s="2">
        <v>3</v>
      </c>
      <c r="Y40" s="2">
        <v>3</v>
      </c>
      <c r="Z40" s="2">
        <v>3</v>
      </c>
      <c r="AA40" s="2">
        <v>3</v>
      </c>
      <c r="AB40" s="2">
        <v>2</v>
      </c>
      <c r="AC40" s="2">
        <v>2</v>
      </c>
      <c r="AD40" s="2">
        <v>3</v>
      </c>
      <c r="AE40" s="7">
        <v>3</v>
      </c>
    </row>
    <row r="41" spans="1:31" x14ac:dyDescent="0.2">
      <c r="A41" s="2" t="s">
        <v>31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3</v>
      </c>
      <c r="AB41" s="2">
        <v>3</v>
      </c>
      <c r="AC41" s="2">
        <v>3</v>
      </c>
      <c r="AD41" s="2">
        <v>3</v>
      </c>
      <c r="AE41" s="7">
        <v>3</v>
      </c>
    </row>
    <row r="42" spans="1:31" x14ac:dyDescent="0.2">
      <c r="A42" s="2" t="s">
        <v>31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7">
        <v>3</v>
      </c>
    </row>
    <row r="43" spans="1:31" x14ac:dyDescent="0.2">
      <c r="A43" s="2" t="s">
        <v>31</v>
      </c>
      <c r="B43" s="2">
        <v>3</v>
      </c>
      <c r="C43" s="2">
        <v>3</v>
      </c>
      <c r="D43" s="2">
        <v>3</v>
      </c>
      <c r="E43" s="2">
        <v>2</v>
      </c>
      <c r="F43" s="2">
        <v>2</v>
      </c>
      <c r="G43" s="2">
        <v>2</v>
      </c>
      <c r="H43" s="2">
        <v>2</v>
      </c>
      <c r="I43" s="2">
        <v>2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2</v>
      </c>
      <c r="P43" s="2">
        <v>2</v>
      </c>
      <c r="Q43" s="2">
        <v>3</v>
      </c>
      <c r="R43" s="2">
        <v>3</v>
      </c>
      <c r="S43" s="2">
        <v>2</v>
      </c>
      <c r="T43" s="2">
        <v>2</v>
      </c>
      <c r="U43" s="2">
        <v>2</v>
      </c>
      <c r="V43" s="2">
        <v>2</v>
      </c>
      <c r="W43" s="2">
        <v>2</v>
      </c>
      <c r="X43" s="2">
        <v>2</v>
      </c>
      <c r="Y43" s="2">
        <v>3</v>
      </c>
      <c r="Z43" s="2">
        <v>2</v>
      </c>
      <c r="AA43" s="2">
        <v>2</v>
      </c>
      <c r="AB43" s="2">
        <v>2</v>
      </c>
      <c r="AC43" s="2">
        <v>2</v>
      </c>
      <c r="AD43" s="2">
        <v>3</v>
      </c>
      <c r="AE43" s="7">
        <v>3</v>
      </c>
    </row>
    <row r="44" spans="1:31" x14ac:dyDescent="0.2">
      <c r="A44" s="2" t="s">
        <v>31</v>
      </c>
      <c r="B44" s="2">
        <v>3</v>
      </c>
      <c r="C44" s="2">
        <v>3</v>
      </c>
      <c r="D44" s="2">
        <v>3</v>
      </c>
      <c r="E44" s="2">
        <v>3</v>
      </c>
      <c r="F44" s="2">
        <v>3</v>
      </c>
      <c r="G44" s="2">
        <v>3</v>
      </c>
      <c r="H44" s="2">
        <v>2</v>
      </c>
      <c r="I44" s="2">
        <v>2</v>
      </c>
      <c r="J44" s="2">
        <v>1</v>
      </c>
      <c r="K44" s="2">
        <v>2</v>
      </c>
      <c r="L44" s="2">
        <v>3</v>
      </c>
      <c r="M44" s="2">
        <v>3</v>
      </c>
      <c r="N44" s="2">
        <v>1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2</v>
      </c>
      <c r="U44" s="2">
        <v>3</v>
      </c>
      <c r="V44" s="2">
        <v>3</v>
      </c>
      <c r="W44" s="2">
        <v>3</v>
      </c>
      <c r="X44" s="2">
        <v>2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7">
        <v>3</v>
      </c>
    </row>
    <row r="45" spans="1:31" x14ac:dyDescent="0.2">
      <c r="A45" s="2" t="s">
        <v>31</v>
      </c>
      <c r="B45" s="2">
        <v>3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3</v>
      </c>
      <c r="S45" s="2">
        <v>3</v>
      </c>
      <c r="T45" s="2">
        <v>3</v>
      </c>
      <c r="U45" s="2">
        <v>3</v>
      </c>
      <c r="V45" s="2">
        <v>3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3</v>
      </c>
      <c r="AC45" s="2">
        <v>3</v>
      </c>
      <c r="AD45" s="2">
        <v>3</v>
      </c>
      <c r="AE45" s="7">
        <v>3</v>
      </c>
    </row>
    <row r="46" spans="1:31" x14ac:dyDescent="0.2">
      <c r="A46" s="2" t="s">
        <v>31</v>
      </c>
      <c r="B46" s="2">
        <v>3</v>
      </c>
      <c r="C46" s="2">
        <v>3</v>
      </c>
      <c r="D46" s="2">
        <v>3</v>
      </c>
      <c r="E46" s="2">
        <v>2</v>
      </c>
      <c r="F46" s="2">
        <v>2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2</v>
      </c>
      <c r="Q46" s="2">
        <v>3</v>
      </c>
      <c r="R46" s="2">
        <v>3</v>
      </c>
      <c r="S46" s="2">
        <v>2</v>
      </c>
      <c r="T46" s="2">
        <v>3</v>
      </c>
      <c r="U46" s="2">
        <v>3</v>
      </c>
      <c r="V46" s="2">
        <v>2</v>
      </c>
      <c r="W46" s="2">
        <v>3</v>
      </c>
      <c r="X46" s="2">
        <v>3</v>
      </c>
      <c r="Y46" s="2">
        <v>2</v>
      </c>
      <c r="Z46" s="2">
        <v>3</v>
      </c>
      <c r="AA46" s="2">
        <v>3</v>
      </c>
      <c r="AB46" s="2">
        <v>3</v>
      </c>
      <c r="AC46" s="2">
        <v>3</v>
      </c>
      <c r="AD46" s="2">
        <v>3</v>
      </c>
      <c r="AE46" s="7">
        <v>3</v>
      </c>
    </row>
    <row r="47" spans="1:31" x14ac:dyDescent="0.2">
      <c r="A47" s="2" t="s">
        <v>31</v>
      </c>
      <c r="B47" s="2">
        <v>3</v>
      </c>
      <c r="C47" s="2">
        <v>3</v>
      </c>
      <c r="D47" s="2">
        <v>3</v>
      </c>
      <c r="E47" s="2">
        <v>3</v>
      </c>
      <c r="F47" s="2">
        <v>3</v>
      </c>
      <c r="G47" s="2">
        <v>3</v>
      </c>
      <c r="H47" s="2">
        <v>2</v>
      </c>
      <c r="I47" s="2">
        <v>3</v>
      </c>
      <c r="J47" s="2">
        <v>2</v>
      </c>
      <c r="K47" s="2">
        <v>3</v>
      </c>
      <c r="L47" s="2">
        <v>3</v>
      </c>
      <c r="M47" s="2">
        <v>3</v>
      </c>
      <c r="N47" s="2">
        <v>3</v>
      </c>
      <c r="O47" s="2">
        <v>2</v>
      </c>
      <c r="P47" s="2">
        <v>3</v>
      </c>
      <c r="Q47" s="2">
        <v>2</v>
      </c>
      <c r="R47" s="2">
        <v>3</v>
      </c>
      <c r="S47" s="2">
        <v>2</v>
      </c>
      <c r="T47" s="2">
        <v>3</v>
      </c>
      <c r="U47" s="2">
        <v>3</v>
      </c>
      <c r="V47" s="2">
        <v>3</v>
      </c>
      <c r="W47" s="2">
        <v>3</v>
      </c>
      <c r="X47" s="2">
        <v>3</v>
      </c>
      <c r="Y47" s="2">
        <v>3</v>
      </c>
      <c r="Z47" s="2">
        <v>3</v>
      </c>
      <c r="AA47" s="2">
        <v>3</v>
      </c>
      <c r="AB47" s="2">
        <v>3</v>
      </c>
      <c r="AC47" s="2">
        <v>2</v>
      </c>
      <c r="AD47" s="2">
        <v>3</v>
      </c>
      <c r="AE47" s="7">
        <v>3</v>
      </c>
    </row>
    <row r="48" spans="1:31" x14ac:dyDescent="0.2">
      <c r="A48" s="2" t="s">
        <v>31</v>
      </c>
      <c r="B48" s="2">
        <v>3</v>
      </c>
      <c r="C48" s="2">
        <v>3</v>
      </c>
      <c r="D48" s="2">
        <v>3</v>
      </c>
      <c r="E48" s="2">
        <v>3</v>
      </c>
      <c r="F48" s="2">
        <v>2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2</v>
      </c>
      <c r="P48" s="2">
        <v>3</v>
      </c>
      <c r="Q48" s="2">
        <v>3</v>
      </c>
      <c r="R48" s="2">
        <v>3</v>
      </c>
      <c r="S48" s="2">
        <v>2</v>
      </c>
      <c r="T48" s="2">
        <v>3</v>
      </c>
      <c r="U48" s="2">
        <v>3</v>
      </c>
      <c r="V48" s="2">
        <v>3</v>
      </c>
      <c r="W48" s="2">
        <v>3</v>
      </c>
      <c r="X48" s="2">
        <v>3</v>
      </c>
      <c r="Y48" s="2">
        <v>3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7">
        <v>3</v>
      </c>
    </row>
    <row r="49" spans="1:31" x14ac:dyDescent="0.2">
      <c r="A49" s="2" t="s">
        <v>31</v>
      </c>
      <c r="B49" s="2">
        <v>3</v>
      </c>
      <c r="C49" s="2">
        <v>3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3</v>
      </c>
      <c r="S49" s="2">
        <v>3</v>
      </c>
      <c r="T49" s="2">
        <v>3</v>
      </c>
      <c r="U49" s="2">
        <v>3</v>
      </c>
      <c r="V49" s="2">
        <v>2</v>
      </c>
      <c r="W49" s="2">
        <v>3</v>
      </c>
      <c r="X49" s="2">
        <v>3</v>
      </c>
      <c r="Y49" s="2">
        <v>3</v>
      </c>
      <c r="Z49" s="2">
        <v>3</v>
      </c>
      <c r="AA49" s="2">
        <v>3</v>
      </c>
      <c r="AB49" s="2">
        <v>3</v>
      </c>
      <c r="AC49" s="2">
        <v>3</v>
      </c>
      <c r="AD49" s="2">
        <v>3</v>
      </c>
      <c r="AE49" s="7">
        <v>3</v>
      </c>
    </row>
    <row r="50" spans="1:31" x14ac:dyDescent="0.2">
      <c r="A50" s="2" t="s">
        <v>31</v>
      </c>
      <c r="B50" s="2">
        <v>3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3</v>
      </c>
      <c r="I50" s="2">
        <v>3</v>
      </c>
      <c r="J50" s="2">
        <v>2</v>
      </c>
      <c r="K50" s="2">
        <v>3</v>
      </c>
      <c r="L50" s="2">
        <v>2</v>
      </c>
      <c r="M50" s="2">
        <v>2</v>
      </c>
      <c r="N50" s="2">
        <v>3</v>
      </c>
      <c r="O50" s="2">
        <v>3</v>
      </c>
      <c r="P50" s="2">
        <v>2</v>
      </c>
      <c r="Q50" s="2">
        <v>3</v>
      </c>
      <c r="R50" s="2">
        <v>3</v>
      </c>
      <c r="S50" s="2">
        <v>1</v>
      </c>
      <c r="T50" s="2">
        <v>2</v>
      </c>
      <c r="U50" s="2">
        <v>3</v>
      </c>
      <c r="V50" s="2">
        <v>1</v>
      </c>
      <c r="W50" s="2">
        <v>3</v>
      </c>
      <c r="X50" s="2">
        <v>3</v>
      </c>
      <c r="Y50" s="2">
        <v>2</v>
      </c>
      <c r="Z50" s="2">
        <v>2</v>
      </c>
      <c r="AA50" s="2">
        <v>2</v>
      </c>
      <c r="AB50" s="2">
        <v>3</v>
      </c>
      <c r="AC50" s="2">
        <v>3</v>
      </c>
      <c r="AD50" s="2">
        <v>3</v>
      </c>
      <c r="AE50" s="7">
        <v>2</v>
      </c>
    </row>
    <row r="51" spans="1:31" x14ac:dyDescent="0.2">
      <c r="A51" s="2" t="s">
        <v>31</v>
      </c>
      <c r="B51" s="2">
        <v>3</v>
      </c>
      <c r="C51" s="2">
        <v>3</v>
      </c>
      <c r="D51" s="2">
        <v>3</v>
      </c>
      <c r="E51" s="2">
        <v>3</v>
      </c>
      <c r="F51" s="2">
        <v>3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1</v>
      </c>
      <c r="T51" s="2">
        <v>3</v>
      </c>
      <c r="U51" s="2">
        <v>3</v>
      </c>
      <c r="V51" s="2">
        <v>1</v>
      </c>
      <c r="W51" s="2">
        <v>3</v>
      </c>
      <c r="X51" s="2">
        <v>3</v>
      </c>
      <c r="Y51" s="2">
        <v>3</v>
      </c>
      <c r="Z51" s="2">
        <v>3</v>
      </c>
      <c r="AA51" s="2">
        <v>3</v>
      </c>
      <c r="AB51" s="2">
        <v>3</v>
      </c>
      <c r="AC51" s="2">
        <v>3</v>
      </c>
      <c r="AD51" s="2">
        <v>3</v>
      </c>
      <c r="AE51" s="7">
        <v>3</v>
      </c>
    </row>
    <row r="52" spans="1:31" x14ac:dyDescent="0.2">
      <c r="A52" s="2" t="s">
        <v>31</v>
      </c>
      <c r="B52" s="2">
        <v>3</v>
      </c>
      <c r="C52" s="2">
        <v>3</v>
      </c>
      <c r="D52" s="2">
        <v>3</v>
      </c>
      <c r="E52" s="2">
        <v>3</v>
      </c>
      <c r="F52" s="2">
        <v>2</v>
      </c>
      <c r="G52" s="2">
        <v>3</v>
      </c>
      <c r="H52" s="2">
        <v>3</v>
      </c>
      <c r="I52" s="2">
        <v>3</v>
      </c>
      <c r="J52" s="2">
        <v>2</v>
      </c>
      <c r="K52" s="2">
        <v>3</v>
      </c>
      <c r="L52" s="2">
        <v>3</v>
      </c>
      <c r="M52" s="2">
        <v>2</v>
      </c>
      <c r="N52" s="2">
        <v>3</v>
      </c>
      <c r="O52" s="2">
        <v>3</v>
      </c>
      <c r="P52" s="2">
        <v>3</v>
      </c>
      <c r="Q52" s="2">
        <v>2</v>
      </c>
      <c r="R52" s="2">
        <v>3</v>
      </c>
      <c r="S52" s="2">
        <v>2</v>
      </c>
      <c r="T52" s="2">
        <v>3</v>
      </c>
      <c r="U52" s="2">
        <v>3</v>
      </c>
      <c r="V52" s="2">
        <v>3</v>
      </c>
      <c r="W52" s="2">
        <v>3</v>
      </c>
      <c r="X52" s="2">
        <v>3</v>
      </c>
      <c r="Y52" s="2">
        <v>3</v>
      </c>
      <c r="Z52" s="2">
        <v>3</v>
      </c>
      <c r="AA52" s="2">
        <v>3</v>
      </c>
      <c r="AB52" s="2">
        <v>3</v>
      </c>
      <c r="AC52" s="2">
        <v>3</v>
      </c>
      <c r="AD52" s="2">
        <v>3</v>
      </c>
      <c r="AE52" s="7">
        <v>3</v>
      </c>
    </row>
    <row r="53" spans="1:31" x14ac:dyDescent="0.2">
      <c r="A53" s="2" t="s">
        <v>31</v>
      </c>
      <c r="B53" s="2">
        <v>3</v>
      </c>
      <c r="C53" s="2">
        <v>3</v>
      </c>
      <c r="D53" s="2">
        <v>2</v>
      </c>
      <c r="E53" s="2">
        <v>2</v>
      </c>
      <c r="F53" s="2">
        <v>2</v>
      </c>
      <c r="G53" s="2">
        <v>3</v>
      </c>
      <c r="H53" s="2">
        <v>3</v>
      </c>
      <c r="I53" s="2">
        <v>3</v>
      </c>
      <c r="J53" s="2">
        <v>3</v>
      </c>
      <c r="K53" s="2">
        <v>2</v>
      </c>
      <c r="L53" s="2">
        <v>2</v>
      </c>
      <c r="M53" s="2">
        <v>3</v>
      </c>
      <c r="N53" s="2">
        <v>2</v>
      </c>
      <c r="O53" s="2">
        <v>3</v>
      </c>
      <c r="P53" s="2">
        <v>3</v>
      </c>
      <c r="Q53" s="2">
        <v>3</v>
      </c>
      <c r="R53" s="2">
        <v>3</v>
      </c>
      <c r="S53" s="2">
        <v>2</v>
      </c>
      <c r="T53" s="2">
        <v>2</v>
      </c>
      <c r="U53" s="2">
        <v>3</v>
      </c>
      <c r="V53" s="2">
        <v>2</v>
      </c>
      <c r="W53" s="2">
        <v>3</v>
      </c>
      <c r="X53" s="2">
        <v>3</v>
      </c>
      <c r="Y53" s="2">
        <v>3</v>
      </c>
      <c r="Z53" s="2">
        <v>2</v>
      </c>
      <c r="AA53" s="2">
        <v>2</v>
      </c>
      <c r="AB53" s="2">
        <v>3</v>
      </c>
      <c r="AC53" s="2">
        <v>3</v>
      </c>
      <c r="AD53" s="2">
        <v>3</v>
      </c>
      <c r="AE53" s="7">
        <v>3</v>
      </c>
    </row>
    <row r="54" spans="1:31" x14ac:dyDescent="0.2">
      <c r="A54" s="2" t="s">
        <v>31</v>
      </c>
      <c r="B54" s="2">
        <v>3</v>
      </c>
      <c r="C54" s="2">
        <v>3</v>
      </c>
      <c r="D54" s="2">
        <v>2</v>
      </c>
      <c r="E54" s="2">
        <v>2</v>
      </c>
      <c r="F54" s="2">
        <v>2</v>
      </c>
      <c r="G54" s="2">
        <v>2</v>
      </c>
      <c r="H54" s="2">
        <v>3</v>
      </c>
      <c r="I54" s="2">
        <v>3</v>
      </c>
      <c r="J54" s="2">
        <v>2</v>
      </c>
      <c r="K54" s="2">
        <v>3</v>
      </c>
      <c r="L54" s="2">
        <v>3</v>
      </c>
      <c r="M54" s="2">
        <v>3</v>
      </c>
      <c r="N54" s="2">
        <v>3</v>
      </c>
      <c r="O54" s="2">
        <v>2</v>
      </c>
      <c r="P54" s="2">
        <v>2</v>
      </c>
      <c r="Q54" s="2">
        <v>2</v>
      </c>
      <c r="R54" s="2">
        <v>3</v>
      </c>
      <c r="S54" s="2">
        <v>3</v>
      </c>
      <c r="T54" s="2">
        <v>2</v>
      </c>
      <c r="U54" s="2">
        <v>2</v>
      </c>
      <c r="V54" s="2">
        <v>2</v>
      </c>
      <c r="W54" s="2">
        <v>3</v>
      </c>
      <c r="X54" s="2">
        <v>2</v>
      </c>
      <c r="Y54" s="2">
        <v>2</v>
      </c>
      <c r="Z54" s="2">
        <v>2</v>
      </c>
      <c r="AA54" s="2">
        <v>3</v>
      </c>
      <c r="AB54" s="2">
        <v>3</v>
      </c>
      <c r="AC54" s="2">
        <v>3</v>
      </c>
      <c r="AD54" s="2">
        <v>3</v>
      </c>
      <c r="AE54" s="7">
        <v>3</v>
      </c>
    </row>
    <row r="55" spans="1:31" x14ac:dyDescent="0.2">
      <c r="A55" s="2" t="s">
        <v>31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3</v>
      </c>
      <c r="K55" s="2">
        <v>2</v>
      </c>
      <c r="L55" s="2">
        <v>3</v>
      </c>
      <c r="M55" s="2">
        <v>2</v>
      </c>
      <c r="N55" s="2">
        <v>2</v>
      </c>
      <c r="O55" s="2">
        <v>2</v>
      </c>
      <c r="P55" s="2">
        <v>3</v>
      </c>
      <c r="Q55" s="2">
        <v>2</v>
      </c>
      <c r="R55" s="2">
        <v>3</v>
      </c>
      <c r="S55" s="2">
        <v>2</v>
      </c>
      <c r="T55" s="2">
        <v>2</v>
      </c>
      <c r="U55" s="2">
        <v>3</v>
      </c>
      <c r="V55" s="2">
        <v>3</v>
      </c>
      <c r="W55" s="2">
        <v>3</v>
      </c>
      <c r="X55" s="2">
        <v>3</v>
      </c>
      <c r="Y55" s="2">
        <v>2</v>
      </c>
      <c r="Z55" s="2">
        <v>1</v>
      </c>
      <c r="AA55" s="2">
        <v>2</v>
      </c>
      <c r="AB55" s="2">
        <v>2</v>
      </c>
      <c r="AC55" s="2">
        <v>2</v>
      </c>
      <c r="AD55" s="2">
        <v>3</v>
      </c>
      <c r="AE55" s="7">
        <v>3</v>
      </c>
    </row>
    <row r="56" spans="1:31" x14ac:dyDescent="0.2">
      <c r="A56" s="2" t="s">
        <v>31</v>
      </c>
      <c r="B56" s="2">
        <v>3</v>
      </c>
      <c r="C56" s="2">
        <v>3</v>
      </c>
      <c r="D56" s="2">
        <v>3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3</v>
      </c>
      <c r="AC56" s="2">
        <v>3</v>
      </c>
      <c r="AD56" s="2">
        <v>3</v>
      </c>
      <c r="AE56" s="7">
        <v>3</v>
      </c>
    </row>
    <row r="57" spans="1:31" x14ac:dyDescent="0.2">
      <c r="A57" s="2" t="s">
        <v>31</v>
      </c>
      <c r="B57" s="2">
        <v>3</v>
      </c>
      <c r="C57" s="2">
        <v>3</v>
      </c>
      <c r="D57" s="2">
        <v>3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1</v>
      </c>
      <c r="O57" s="2">
        <v>1</v>
      </c>
      <c r="P57" s="2">
        <v>1</v>
      </c>
      <c r="Q57" s="2">
        <v>3</v>
      </c>
      <c r="R57" s="2">
        <v>3</v>
      </c>
      <c r="S57" s="2">
        <v>3</v>
      </c>
      <c r="T57" s="2">
        <v>3</v>
      </c>
      <c r="U57" s="2">
        <v>3</v>
      </c>
      <c r="V57" s="2">
        <v>3</v>
      </c>
      <c r="W57" s="2">
        <v>3</v>
      </c>
      <c r="X57" s="2">
        <v>3</v>
      </c>
      <c r="Y57" s="2">
        <v>3</v>
      </c>
      <c r="Z57" s="2">
        <v>2</v>
      </c>
      <c r="AA57" s="2">
        <v>3</v>
      </c>
      <c r="AB57" s="2">
        <v>3</v>
      </c>
      <c r="AC57" s="2">
        <v>1</v>
      </c>
      <c r="AD57" s="2">
        <v>3</v>
      </c>
      <c r="AE57" s="7">
        <v>3</v>
      </c>
    </row>
    <row r="58" spans="1:31" x14ac:dyDescent="0.2">
      <c r="A58" s="2" t="s">
        <v>31</v>
      </c>
      <c r="B58" s="2">
        <v>3</v>
      </c>
      <c r="C58" s="2">
        <v>3</v>
      </c>
      <c r="D58" s="2">
        <v>3</v>
      </c>
      <c r="E58" s="2">
        <v>3</v>
      </c>
      <c r="F58" s="2">
        <v>2</v>
      </c>
      <c r="G58" s="2">
        <v>3</v>
      </c>
      <c r="H58" s="2">
        <v>3</v>
      </c>
      <c r="I58" s="2">
        <v>2</v>
      </c>
      <c r="J58" s="2">
        <v>2</v>
      </c>
      <c r="K58" s="2">
        <v>3</v>
      </c>
      <c r="L58" s="2">
        <v>3</v>
      </c>
      <c r="M58" s="2">
        <v>3</v>
      </c>
      <c r="N58" s="2">
        <v>2</v>
      </c>
      <c r="O58" s="2">
        <v>3</v>
      </c>
      <c r="P58" s="2">
        <v>3</v>
      </c>
      <c r="Q58" s="2">
        <v>2</v>
      </c>
      <c r="R58" s="2">
        <v>3</v>
      </c>
      <c r="S58" s="2">
        <v>2</v>
      </c>
      <c r="T58" s="2">
        <v>3</v>
      </c>
      <c r="U58" s="2">
        <v>3</v>
      </c>
      <c r="V58" s="2">
        <v>2</v>
      </c>
      <c r="W58" s="2">
        <v>3</v>
      </c>
      <c r="X58" s="2">
        <v>3</v>
      </c>
      <c r="Y58" s="2">
        <v>2</v>
      </c>
      <c r="Z58" s="2">
        <v>2</v>
      </c>
      <c r="AA58" s="2">
        <v>2</v>
      </c>
      <c r="AB58" s="2">
        <v>2</v>
      </c>
      <c r="AC58" s="2">
        <v>2</v>
      </c>
      <c r="AD58" s="2">
        <v>2</v>
      </c>
      <c r="AE58" s="7">
        <v>3</v>
      </c>
    </row>
    <row r="59" spans="1:31" x14ac:dyDescent="0.2">
      <c r="A59" s="2" t="s">
        <v>31</v>
      </c>
      <c r="B59" s="2">
        <v>3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2</v>
      </c>
      <c r="L59" s="2">
        <v>3</v>
      </c>
      <c r="M59" s="2">
        <v>2</v>
      </c>
      <c r="N59" s="2">
        <v>3</v>
      </c>
      <c r="O59" s="2">
        <v>3</v>
      </c>
      <c r="P59" s="2">
        <v>3</v>
      </c>
      <c r="Q59" s="2">
        <v>3</v>
      </c>
      <c r="R59" s="2">
        <v>3</v>
      </c>
      <c r="S59" s="2">
        <v>2</v>
      </c>
      <c r="T59" s="2">
        <v>3</v>
      </c>
      <c r="U59" s="2">
        <v>3</v>
      </c>
      <c r="V59" s="2">
        <v>3</v>
      </c>
      <c r="W59" s="2">
        <v>3</v>
      </c>
      <c r="X59" s="2">
        <v>3</v>
      </c>
      <c r="Y59" s="2">
        <v>2</v>
      </c>
      <c r="Z59" s="2">
        <v>3</v>
      </c>
      <c r="AA59" s="2">
        <v>2</v>
      </c>
      <c r="AB59" s="2">
        <v>3</v>
      </c>
      <c r="AC59" s="2">
        <v>3</v>
      </c>
      <c r="AD59" s="2">
        <v>3</v>
      </c>
      <c r="AE59" s="7">
        <v>3</v>
      </c>
    </row>
  </sheetData>
  <autoFilter ref="A2:AX2" xr:uid="{00000000-0009-0000-0000-000001000000}">
    <sortState xmlns:xlrd2="http://schemas.microsoft.com/office/spreadsheetml/2017/richdata2" ref="A3:AX59">
      <sortCondition ref="A2:A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25"/>
  <sheetViews>
    <sheetView topLeftCell="A22" zoomScale="132" zoomScaleNormal="67" workbookViewId="0">
      <selection activeCell="M56" sqref="M56"/>
    </sheetView>
  </sheetViews>
  <sheetFormatPr baseColWidth="10" defaultRowHeight="16" x14ac:dyDescent="0.2"/>
  <sheetData>
    <row r="1" spans="1:32" x14ac:dyDescent="0.2">
      <c r="A1" s="3" t="s">
        <v>47</v>
      </c>
      <c r="J1" s="3" t="s">
        <v>48</v>
      </c>
      <c r="Z1" s="3" t="s">
        <v>49</v>
      </c>
    </row>
    <row r="2" spans="1:32" x14ac:dyDescent="0.2">
      <c r="A2" s="2" t="s">
        <v>34</v>
      </c>
      <c r="B2" s="2" t="s">
        <v>37</v>
      </c>
      <c r="C2" s="2" t="s">
        <v>37</v>
      </c>
      <c r="D2" s="2" t="s">
        <v>37</v>
      </c>
      <c r="E2" s="2" t="s">
        <v>37</v>
      </c>
      <c r="F2" s="2" t="s">
        <v>37</v>
      </c>
      <c r="G2" s="2" t="s">
        <v>37</v>
      </c>
      <c r="J2" s="2" t="s">
        <v>34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Z2" s="2" t="s">
        <v>34</v>
      </c>
      <c r="AA2" s="2" t="s">
        <v>37</v>
      </c>
      <c r="AB2" s="2" t="s">
        <v>37</v>
      </c>
      <c r="AC2" s="2" t="s">
        <v>37</v>
      </c>
      <c r="AD2" s="2" t="s">
        <v>37</v>
      </c>
      <c r="AE2" s="2" t="s">
        <v>37</v>
      </c>
      <c r="AF2" s="2" t="s">
        <v>37</v>
      </c>
    </row>
    <row r="3" spans="1:32" x14ac:dyDescent="0.2">
      <c r="A3" t="s">
        <v>0</v>
      </c>
      <c r="B3" t="s">
        <v>4</v>
      </c>
      <c r="C3" t="s">
        <v>12</v>
      </c>
      <c r="D3" t="s">
        <v>13</v>
      </c>
      <c r="E3" t="s">
        <v>18</v>
      </c>
      <c r="F3" t="s">
        <v>23</v>
      </c>
      <c r="G3" t="s">
        <v>25</v>
      </c>
      <c r="J3" t="s">
        <v>0</v>
      </c>
      <c r="K3" t="s">
        <v>4</v>
      </c>
      <c r="L3" t="s">
        <v>12</v>
      </c>
      <c r="M3" t="s">
        <v>13</v>
      </c>
      <c r="N3" t="s">
        <v>18</v>
      </c>
      <c r="O3" t="s">
        <v>23</v>
      </c>
      <c r="P3" t="s">
        <v>25</v>
      </c>
      <c r="Z3" t="s">
        <v>0</v>
      </c>
      <c r="AA3" t="s">
        <v>4</v>
      </c>
      <c r="AB3" t="s">
        <v>12</v>
      </c>
      <c r="AC3" t="s">
        <v>13</v>
      </c>
      <c r="AD3" t="s">
        <v>18</v>
      </c>
      <c r="AE3" t="s">
        <v>23</v>
      </c>
      <c r="AF3" t="s">
        <v>25</v>
      </c>
    </row>
    <row r="4" spans="1:32" x14ac:dyDescent="0.2">
      <c r="A4" s="1" t="s">
        <v>33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J4" s="1" t="s">
        <v>33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Z4" s="1" t="s">
        <v>33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</row>
    <row r="5" spans="1:32" x14ac:dyDescent="0.2">
      <c r="A5" t="s">
        <v>32</v>
      </c>
      <c r="B5">
        <v>4</v>
      </c>
      <c r="C5">
        <v>5</v>
      </c>
      <c r="D5">
        <v>4</v>
      </c>
      <c r="E5">
        <v>4</v>
      </c>
      <c r="F5">
        <v>4</v>
      </c>
      <c r="G5">
        <v>4</v>
      </c>
      <c r="J5" s="2" t="s">
        <v>32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Z5" t="s">
        <v>32</v>
      </c>
      <c r="AA5">
        <v>4</v>
      </c>
      <c r="AB5">
        <v>5</v>
      </c>
      <c r="AC5">
        <v>4</v>
      </c>
      <c r="AD5">
        <v>4</v>
      </c>
      <c r="AE5">
        <v>4</v>
      </c>
      <c r="AF5">
        <v>4</v>
      </c>
    </row>
    <row r="6" spans="1:32" x14ac:dyDescent="0.2">
      <c r="A6" t="s">
        <v>32</v>
      </c>
      <c r="B6">
        <v>4</v>
      </c>
      <c r="C6">
        <v>3</v>
      </c>
      <c r="D6">
        <v>4</v>
      </c>
      <c r="E6">
        <v>2</v>
      </c>
      <c r="F6">
        <v>5</v>
      </c>
      <c r="G6">
        <v>3</v>
      </c>
      <c r="J6" s="2" t="s">
        <v>32</v>
      </c>
      <c r="K6" s="2">
        <v>3</v>
      </c>
      <c r="L6" s="2">
        <v>2</v>
      </c>
      <c r="M6" s="2">
        <v>3</v>
      </c>
      <c r="N6" s="2">
        <v>1</v>
      </c>
      <c r="O6" s="2">
        <v>3</v>
      </c>
      <c r="P6" s="2">
        <v>2</v>
      </c>
      <c r="Z6" t="s">
        <v>32</v>
      </c>
      <c r="AA6">
        <v>4</v>
      </c>
      <c r="AB6">
        <v>3</v>
      </c>
      <c r="AC6">
        <v>4</v>
      </c>
      <c r="AD6">
        <v>2</v>
      </c>
      <c r="AE6">
        <v>5</v>
      </c>
      <c r="AF6">
        <v>3</v>
      </c>
    </row>
    <row r="7" spans="1:32" x14ac:dyDescent="0.2">
      <c r="A7" t="s">
        <v>32</v>
      </c>
      <c r="B7">
        <v>4</v>
      </c>
      <c r="C7">
        <v>4</v>
      </c>
      <c r="D7">
        <v>4</v>
      </c>
      <c r="E7">
        <v>3</v>
      </c>
      <c r="F7">
        <v>4</v>
      </c>
      <c r="G7">
        <v>4</v>
      </c>
      <c r="J7" s="2" t="s">
        <v>32</v>
      </c>
      <c r="K7" s="2">
        <v>3</v>
      </c>
      <c r="L7" s="2">
        <v>3</v>
      </c>
      <c r="M7" s="2">
        <v>3</v>
      </c>
      <c r="N7" s="2">
        <v>2</v>
      </c>
      <c r="O7" s="2">
        <v>3</v>
      </c>
      <c r="P7" s="2">
        <v>3</v>
      </c>
      <c r="Z7" t="s">
        <v>32</v>
      </c>
      <c r="AA7">
        <v>4</v>
      </c>
      <c r="AB7">
        <v>4</v>
      </c>
      <c r="AC7">
        <v>4</v>
      </c>
      <c r="AD7">
        <v>3</v>
      </c>
      <c r="AE7">
        <v>4</v>
      </c>
      <c r="AF7">
        <v>4</v>
      </c>
    </row>
    <row r="8" spans="1:32" x14ac:dyDescent="0.2">
      <c r="A8" t="s">
        <v>32</v>
      </c>
      <c r="B8">
        <v>4</v>
      </c>
      <c r="C8">
        <v>3</v>
      </c>
      <c r="D8">
        <v>2</v>
      </c>
      <c r="E8">
        <v>2</v>
      </c>
      <c r="F8">
        <v>3</v>
      </c>
      <c r="G8">
        <v>4</v>
      </c>
      <c r="J8" s="2" t="s">
        <v>32</v>
      </c>
      <c r="K8" s="2">
        <v>3</v>
      </c>
      <c r="L8" s="2">
        <v>2</v>
      </c>
      <c r="M8" s="2">
        <v>1</v>
      </c>
      <c r="N8" s="2">
        <v>1</v>
      </c>
      <c r="O8" s="2">
        <v>2</v>
      </c>
      <c r="P8" s="2">
        <v>3</v>
      </c>
      <c r="Z8" t="s">
        <v>32</v>
      </c>
      <c r="AA8">
        <v>4</v>
      </c>
      <c r="AB8">
        <v>3</v>
      </c>
      <c r="AC8">
        <v>2</v>
      </c>
      <c r="AD8">
        <v>2</v>
      </c>
      <c r="AE8">
        <v>3</v>
      </c>
      <c r="AF8">
        <v>4</v>
      </c>
    </row>
    <row r="9" spans="1:32" x14ac:dyDescent="0.2">
      <c r="A9" t="s">
        <v>32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J9" s="2" t="s">
        <v>32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Z9" t="s">
        <v>32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</row>
    <row r="10" spans="1:32" x14ac:dyDescent="0.2">
      <c r="A10" t="s">
        <v>32</v>
      </c>
      <c r="B10">
        <v>3</v>
      </c>
      <c r="C10">
        <v>4</v>
      </c>
      <c r="D10">
        <v>4</v>
      </c>
      <c r="E10">
        <v>3</v>
      </c>
      <c r="F10">
        <v>4</v>
      </c>
      <c r="G10">
        <v>4</v>
      </c>
      <c r="J10" s="2" t="s">
        <v>32</v>
      </c>
      <c r="K10" s="2">
        <v>2</v>
      </c>
      <c r="L10" s="2">
        <v>3</v>
      </c>
      <c r="M10" s="2">
        <v>3</v>
      </c>
      <c r="N10" s="2">
        <v>2</v>
      </c>
      <c r="O10" s="2">
        <v>3</v>
      </c>
      <c r="P10" s="2">
        <v>3</v>
      </c>
      <c r="Z10" t="s">
        <v>32</v>
      </c>
      <c r="AA10">
        <v>3</v>
      </c>
      <c r="AB10">
        <v>4</v>
      </c>
      <c r="AC10">
        <v>4</v>
      </c>
      <c r="AD10">
        <v>3</v>
      </c>
      <c r="AE10">
        <v>4</v>
      </c>
      <c r="AF10">
        <v>4</v>
      </c>
    </row>
    <row r="11" spans="1:32" x14ac:dyDescent="0.2">
      <c r="A11" t="s">
        <v>32</v>
      </c>
      <c r="B11">
        <v>3</v>
      </c>
      <c r="C11">
        <v>4</v>
      </c>
      <c r="D11">
        <v>2</v>
      </c>
      <c r="E11">
        <v>1</v>
      </c>
      <c r="F11">
        <v>3</v>
      </c>
      <c r="G11">
        <v>4</v>
      </c>
      <c r="J11" s="2" t="s">
        <v>32</v>
      </c>
      <c r="K11" s="2">
        <v>2</v>
      </c>
      <c r="L11" s="2">
        <v>3</v>
      </c>
      <c r="M11" s="2">
        <v>1</v>
      </c>
      <c r="N11" s="2">
        <v>1</v>
      </c>
      <c r="O11" s="2">
        <v>2</v>
      </c>
      <c r="P11" s="2">
        <v>3</v>
      </c>
      <c r="Z11" t="s">
        <v>32</v>
      </c>
      <c r="AA11">
        <v>3</v>
      </c>
      <c r="AB11">
        <v>4</v>
      </c>
      <c r="AC11">
        <v>2</v>
      </c>
      <c r="AD11">
        <v>1</v>
      </c>
      <c r="AE11">
        <v>3</v>
      </c>
      <c r="AF11">
        <v>4</v>
      </c>
    </row>
    <row r="12" spans="1:32" x14ac:dyDescent="0.2">
      <c r="A12" t="s">
        <v>32</v>
      </c>
      <c r="B12">
        <v>4</v>
      </c>
      <c r="C12">
        <v>5</v>
      </c>
      <c r="D12">
        <v>5</v>
      </c>
      <c r="E12">
        <v>5</v>
      </c>
      <c r="F12">
        <v>5</v>
      </c>
      <c r="G12">
        <v>4</v>
      </c>
      <c r="J12" s="2" t="s">
        <v>32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Z12" t="s">
        <v>32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4</v>
      </c>
    </row>
    <row r="13" spans="1:32" x14ac:dyDescent="0.2">
      <c r="A13" t="s">
        <v>32</v>
      </c>
      <c r="B13">
        <v>3</v>
      </c>
      <c r="C13">
        <v>3</v>
      </c>
      <c r="D13">
        <v>4</v>
      </c>
      <c r="E13">
        <v>3</v>
      </c>
      <c r="F13">
        <v>4</v>
      </c>
      <c r="G13">
        <v>4</v>
      </c>
      <c r="J13" s="2" t="s">
        <v>32</v>
      </c>
      <c r="K13" s="2">
        <v>2</v>
      </c>
      <c r="L13" s="2">
        <v>2</v>
      </c>
      <c r="M13" s="2">
        <v>3</v>
      </c>
      <c r="N13" s="2">
        <v>2</v>
      </c>
      <c r="O13" s="2">
        <v>3</v>
      </c>
      <c r="P13" s="2">
        <v>3</v>
      </c>
      <c r="Z13" t="s">
        <v>32</v>
      </c>
      <c r="AA13">
        <v>3</v>
      </c>
      <c r="AB13">
        <v>3</v>
      </c>
      <c r="AC13">
        <v>4</v>
      </c>
      <c r="AD13">
        <v>3</v>
      </c>
      <c r="AE13">
        <v>4</v>
      </c>
      <c r="AF13">
        <v>4</v>
      </c>
    </row>
    <row r="14" spans="1:32" x14ac:dyDescent="0.2">
      <c r="A14" t="s">
        <v>32</v>
      </c>
      <c r="B14">
        <v>4</v>
      </c>
      <c r="C14">
        <v>4</v>
      </c>
      <c r="D14">
        <v>3</v>
      </c>
      <c r="E14">
        <v>3</v>
      </c>
      <c r="F14">
        <v>4</v>
      </c>
      <c r="G14">
        <v>3</v>
      </c>
      <c r="J14" s="2" t="s">
        <v>32</v>
      </c>
      <c r="K14" s="2">
        <v>3</v>
      </c>
      <c r="L14" s="2">
        <v>3</v>
      </c>
      <c r="M14" s="2">
        <v>2</v>
      </c>
      <c r="N14" s="2">
        <v>2</v>
      </c>
      <c r="O14" s="2">
        <v>3</v>
      </c>
      <c r="P14" s="2">
        <v>2</v>
      </c>
      <c r="Z14" t="s">
        <v>32</v>
      </c>
      <c r="AA14">
        <v>4</v>
      </c>
      <c r="AB14">
        <v>4</v>
      </c>
      <c r="AC14">
        <v>3</v>
      </c>
      <c r="AD14">
        <v>3</v>
      </c>
      <c r="AE14">
        <v>4</v>
      </c>
      <c r="AF14">
        <v>3</v>
      </c>
    </row>
    <row r="15" spans="1:32" x14ac:dyDescent="0.2">
      <c r="A15" t="s">
        <v>32</v>
      </c>
      <c r="B15">
        <v>3</v>
      </c>
      <c r="C15">
        <v>3</v>
      </c>
      <c r="D15">
        <v>4</v>
      </c>
      <c r="E15">
        <v>2</v>
      </c>
      <c r="F15">
        <v>4</v>
      </c>
      <c r="G15">
        <v>3</v>
      </c>
      <c r="J15" s="2" t="s">
        <v>32</v>
      </c>
      <c r="K15" s="2">
        <v>2</v>
      </c>
      <c r="L15" s="2">
        <v>2</v>
      </c>
      <c r="M15" s="2">
        <v>3</v>
      </c>
      <c r="N15" s="2">
        <v>1</v>
      </c>
      <c r="O15" s="2">
        <v>3</v>
      </c>
      <c r="P15" s="2">
        <v>2</v>
      </c>
      <c r="Z15" t="s">
        <v>32</v>
      </c>
      <c r="AA15">
        <v>3</v>
      </c>
      <c r="AB15">
        <v>3</v>
      </c>
      <c r="AC15">
        <v>4</v>
      </c>
      <c r="AD15">
        <v>2</v>
      </c>
      <c r="AE15">
        <v>4</v>
      </c>
      <c r="AF15">
        <v>3</v>
      </c>
    </row>
    <row r="16" spans="1:32" x14ac:dyDescent="0.2">
      <c r="A16" t="s">
        <v>33</v>
      </c>
      <c r="B16">
        <v>5</v>
      </c>
      <c r="C16">
        <v>5</v>
      </c>
      <c r="D16">
        <v>4</v>
      </c>
      <c r="E16">
        <v>3</v>
      </c>
      <c r="F16">
        <v>5</v>
      </c>
      <c r="G16">
        <v>4</v>
      </c>
      <c r="J16" s="2" t="s">
        <v>33</v>
      </c>
      <c r="K16" s="2">
        <v>3</v>
      </c>
      <c r="L16" s="2">
        <v>3</v>
      </c>
      <c r="M16" s="2">
        <v>3</v>
      </c>
      <c r="N16" s="2">
        <v>2</v>
      </c>
      <c r="O16" s="2">
        <v>3</v>
      </c>
      <c r="P16" s="2">
        <v>3</v>
      </c>
      <c r="Z16" t="s">
        <v>33</v>
      </c>
      <c r="AA16">
        <v>5</v>
      </c>
      <c r="AB16">
        <v>5</v>
      </c>
      <c r="AC16">
        <v>4</v>
      </c>
      <c r="AD16">
        <v>3</v>
      </c>
      <c r="AE16">
        <v>5</v>
      </c>
      <c r="AF16">
        <v>4</v>
      </c>
    </row>
    <row r="17" spans="1:32" x14ac:dyDescent="0.2">
      <c r="A17" t="s">
        <v>33</v>
      </c>
      <c r="B17">
        <v>4</v>
      </c>
      <c r="C17">
        <v>4</v>
      </c>
      <c r="D17">
        <v>3</v>
      </c>
      <c r="E17">
        <v>4</v>
      </c>
      <c r="F17">
        <v>4</v>
      </c>
      <c r="G17">
        <v>4</v>
      </c>
      <c r="J17" s="2" t="s">
        <v>33</v>
      </c>
      <c r="K17" s="2">
        <v>3</v>
      </c>
      <c r="L17" s="2">
        <v>3</v>
      </c>
      <c r="M17" s="2">
        <v>2</v>
      </c>
      <c r="N17" s="2">
        <v>3</v>
      </c>
      <c r="O17" s="2">
        <v>3</v>
      </c>
      <c r="P17" s="2">
        <v>3</v>
      </c>
      <c r="Z17" t="s">
        <v>33</v>
      </c>
      <c r="AA17">
        <v>4</v>
      </c>
      <c r="AB17">
        <v>4</v>
      </c>
      <c r="AC17">
        <v>3</v>
      </c>
      <c r="AD17">
        <v>4</v>
      </c>
      <c r="AE17">
        <v>4</v>
      </c>
      <c r="AF17">
        <v>4</v>
      </c>
    </row>
    <row r="18" spans="1:32" x14ac:dyDescent="0.2">
      <c r="A18" t="s">
        <v>33</v>
      </c>
      <c r="B18">
        <v>5</v>
      </c>
      <c r="C18">
        <v>5</v>
      </c>
      <c r="D18">
        <v>5</v>
      </c>
      <c r="E18">
        <v>4</v>
      </c>
      <c r="F18">
        <v>5</v>
      </c>
      <c r="G18">
        <v>5</v>
      </c>
      <c r="J18" s="2" t="s">
        <v>33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Z18" t="s">
        <v>33</v>
      </c>
      <c r="AA18">
        <v>5</v>
      </c>
      <c r="AB18">
        <v>5</v>
      </c>
      <c r="AC18">
        <v>5</v>
      </c>
      <c r="AD18">
        <v>4</v>
      </c>
      <c r="AE18">
        <v>5</v>
      </c>
      <c r="AF18">
        <v>5</v>
      </c>
    </row>
    <row r="19" spans="1:32" x14ac:dyDescent="0.2">
      <c r="A19" t="s">
        <v>33</v>
      </c>
      <c r="B19">
        <v>3</v>
      </c>
      <c r="C19">
        <v>4</v>
      </c>
      <c r="D19">
        <v>3</v>
      </c>
      <c r="E19">
        <v>2</v>
      </c>
      <c r="F19">
        <v>4</v>
      </c>
      <c r="G19">
        <v>4</v>
      </c>
      <c r="J19" s="2" t="s">
        <v>33</v>
      </c>
      <c r="K19" s="2">
        <v>2</v>
      </c>
      <c r="L19" s="2">
        <v>3</v>
      </c>
      <c r="M19" s="2">
        <v>2</v>
      </c>
      <c r="N19" s="2">
        <v>1</v>
      </c>
      <c r="O19" s="2">
        <v>3</v>
      </c>
      <c r="P19" s="2">
        <v>3</v>
      </c>
      <c r="Z19" t="s">
        <v>33</v>
      </c>
      <c r="AA19">
        <v>3</v>
      </c>
      <c r="AB19">
        <v>4</v>
      </c>
      <c r="AC19">
        <v>3</v>
      </c>
      <c r="AD19">
        <v>2</v>
      </c>
      <c r="AE19">
        <v>4</v>
      </c>
      <c r="AF19">
        <v>4</v>
      </c>
    </row>
    <row r="20" spans="1:32" x14ac:dyDescent="0.2">
      <c r="A20" t="s">
        <v>33</v>
      </c>
      <c r="B20">
        <v>3</v>
      </c>
      <c r="C20">
        <v>4</v>
      </c>
      <c r="D20">
        <v>4</v>
      </c>
      <c r="E20">
        <v>3</v>
      </c>
      <c r="F20">
        <v>4</v>
      </c>
      <c r="G20">
        <v>4</v>
      </c>
      <c r="J20" s="2" t="s">
        <v>33</v>
      </c>
      <c r="K20" s="2">
        <v>2</v>
      </c>
      <c r="L20" s="2">
        <v>3</v>
      </c>
      <c r="M20" s="2">
        <v>3</v>
      </c>
      <c r="N20" s="2">
        <v>2</v>
      </c>
      <c r="O20" s="2">
        <v>3</v>
      </c>
      <c r="P20" s="2">
        <v>3</v>
      </c>
      <c r="Z20" t="s">
        <v>33</v>
      </c>
      <c r="AA20">
        <v>3</v>
      </c>
      <c r="AB20">
        <v>4</v>
      </c>
      <c r="AC20">
        <v>4</v>
      </c>
      <c r="AD20">
        <v>3</v>
      </c>
      <c r="AE20">
        <v>4</v>
      </c>
      <c r="AF20">
        <v>4</v>
      </c>
    </row>
    <row r="21" spans="1:32" x14ac:dyDescent="0.2">
      <c r="A21" t="s">
        <v>33</v>
      </c>
      <c r="B21">
        <v>4</v>
      </c>
      <c r="C21">
        <v>4</v>
      </c>
      <c r="D21">
        <v>2</v>
      </c>
      <c r="E21">
        <v>2</v>
      </c>
      <c r="F21">
        <v>4</v>
      </c>
      <c r="G21">
        <v>2</v>
      </c>
      <c r="J21" s="2" t="s">
        <v>33</v>
      </c>
      <c r="K21" s="2">
        <v>3</v>
      </c>
      <c r="L21" s="2">
        <v>3</v>
      </c>
      <c r="M21" s="2">
        <v>1</v>
      </c>
      <c r="N21" s="2">
        <v>1</v>
      </c>
      <c r="O21" s="2">
        <v>3</v>
      </c>
      <c r="P21" s="2">
        <v>1</v>
      </c>
      <c r="Z21" t="s">
        <v>33</v>
      </c>
      <c r="AA21">
        <v>4</v>
      </c>
      <c r="AB21">
        <v>4</v>
      </c>
      <c r="AC21">
        <v>2</v>
      </c>
      <c r="AD21">
        <v>2</v>
      </c>
      <c r="AE21">
        <v>4</v>
      </c>
      <c r="AF21">
        <v>2</v>
      </c>
    </row>
    <row r="22" spans="1:32" x14ac:dyDescent="0.2">
      <c r="A22" t="s">
        <v>33</v>
      </c>
      <c r="B22">
        <v>2</v>
      </c>
      <c r="C22">
        <v>4</v>
      </c>
      <c r="D22">
        <v>3</v>
      </c>
      <c r="E22">
        <v>4</v>
      </c>
      <c r="F22">
        <v>4</v>
      </c>
      <c r="G22">
        <v>4</v>
      </c>
      <c r="J22" s="2" t="s">
        <v>33</v>
      </c>
      <c r="K22" s="2">
        <v>1</v>
      </c>
      <c r="L22" s="2">
        <v>3</v>
      </c>
      <c r="M22" s="2">
        <v>2</v>
      </c>
      <c r="N22" s="2">
        <v>3</v>
      </c>
      <c r="O22" s="2">
        <v>3</v>
      </c>
      <c r="P22" s="2">
        <v>3</v>
      </c>
      <c r="Z22" t="s">
        <v>33</v>
      </c>
      <c r="AA22">
        <v>2</v>
      </c>
      <c r="AB22">
        <v>4</v>
      </c>
      <c r="AC22">
        <v>3</v>
      </c>
      <c r="AD22">
        <v>4</v>
      </c>
      <c r="AE22">
        <v>4</v>
      </c>
      <c r="AF22">
        <v>4</v>
      </c>
    </row>
    <row r="23" spans="1:32" x14ac:dyDescent="0.2">
      <c r="A23" t="s">
        <v>31</v>
      </c>
      <c r="B23">
        <v>3</v>
      </c>
      <c r="C23">
        <v>4</v>
      </c>
      <c r="D23">
        <v>2</v>
      </c>
      <c r="E23">
        <v>3</v>
      </c>
      <c r="F23">
        <v>3</v>
      </c>
      <c r="G23">
        <v>4</v>
      </c>
      <c r="J23" s="2" t="s">
        <v>31</v>
      </c>
      <c r="K23" s="2">
        <v>2</v>
      </c>
      <c r="L23" s="2">
        <v>3</v>
      </c>
      <c r="M23" s="2">
        <v>1</v>
      </c>
      <c r="N23" s="2">
        <v>2</v>
      </c>
      <c r="O23" s="2">
        <v>2</v>
      </c>
      <c r="P23" s="2">
        <v>3</v>
      </c>
      <c r="Z23" t="s">
        <v>31</v>
      </c>
      <c r="AA23">
        <v>3</v>
      </c>
      <c r="AB23">
        <v>4</v>
      </c>
      <c r="AC23">
        <v>2</v>
      </c>
      <c r="AD23">
        <v>3</v>
      </c>
      <c r="AE23">
        <v>3</v>
      </c>
      <c r="AF23">
        <v>4</v>
      </c>
    </row>
    <row r="24" spans="1:32" x14ac:dyDescent="0.2">
      <c r="A24" t="s">
        <v>31</v>
      </c>
      <c r="B24">
        <v>3</v>
      </c>
      <c r="C24">
        <v>4</v>
      </c>
      <c r="D24">
        <v>4</v>
      </c>
      <c r="E24">
        <v>1</v>
      </c>
      <c r="F24">
        <v>3</v>
      </c>
      <c r="G24">
        <v>4</v>
      </c>
      <c r="J24" s="2" t="s">
        <v>31</v>
      </c>
      <c r="K24" s="2">
        <v>2</v>
      </c>
      <c r="L24" s="2">
        <v>3</v>
      </c>
      <c r="M24" s="2">
        <v>3</v>
      </c>
      <c r="N24" s="2">
        <v>1</v>
      </c>
      <c r="O24" s="2">
        <v>2</v>
      </c>
      <c r="P24" s="2">
        <v>3</v>
      </c>
      <c r="Z24" t="s">
        <v>31</v>
      </c>
      <c r="AA24">
        <v>3</v>
      </c>
      <c r="AB24">
        <v>4</v>
      </c>
      <c r="AC24">
        <v>4</v>
      </c>
      <c r="AD24">
        <v>1</v>
      </c>
      <c r="AE24">
        <v>3</v>
      </c>
      <c r="AF24">
        <v>4</v>
      </c>
    </row>
    <row r="25" spans="1:32" x14ac:dyDescent="0.2">
      <c r="A25" t="s">
        <v>31</v>
      </c>
      <c r="B25">
        <v>3</v>
      </c>
      <c r="C25">
        <v>3</v>
      </c>
      <c r="D25">
        <v>3</v>
      </c>
      <c r="E25">
        <v>4</v>
      </c>
      <c r="F25">
        <v>4</v>
      </c>
      <c r="G25">
        <v>3</v>
      </c>
      <c r="J25" s="2" t="s">
        <v>31</v>
      </c>
      <c r="K25" s="2">
        <v>2</v>
      </c>
      <c r="L25" s="2">
        <v>2</v>
      </c>
      <c r="M25" s="2">
        <v>2</v>
      </c>
      <c r="N25" s="2">
        <v>3</v>
      </c>
      <c r="O25" s="2">
        <v>3</v>
      </c>
      <c r="P25" s="2">
        <v>2</v>
      </c>
      <c r="Z25" t="s">
        <v>31</v>
      </c>
      <c r="AA25">
        <v>3</v>
      </c>
      <c r="AB25">
        <v>3</v>
      </c>
      <c r="AC25">
        <v>3</v>
      </c>
      <c r="AD25">
        <v>4</v>
      </c>
      <c r="AE25">
        <v>4</v>
      </c>
      <c r="AF25">
        <v>3</v>
      </c>
    </row>
    <row r="26" spans="1:32" x14ac:dyDescent="0.2">
      <c r="A26" t="s">
        <v>31</v>
      </c>
      <c r="B26">
        <v>3</v>
      </c>
      <c r="C26">
        <v>3</v>
      </c>
      <c r="D26">
        <v>3</v>
      </c>
      <c r="E26">
        <v>3</v>
      </c>
      <c r="F26">
        <v>4</v>
      </c>
      <c r="G26">
        <v>3</v>
      </c>
      <c r="J26" s="2" t="s">
        <v>31</v>
      </c>
      <c r="K26" s="2">
        <v>2</v>
      </c>
      <c r="L26" s="2">
        <v>2</v>
      </c>
      <c r="M26" s="2">
        <v>2</v>
      </c>
      <c r="N26" s="2">
        <v>2</v>
      </c>
      <c r="O26" s="2">
        <v>3</v>
      </c>
      <c r="P26" s="2">
        <v>2</v>
      </c>
      <c r="Z26" t="s">
        <v>31</v>
      </c>
      <c r="AA26">
        <v>3</v>
      </c>
      <c r="AB26">
        <v>3</v>
      </c>
      <c r="AC26">
        <v>3</v>
      </c>
      <c r="AD26">
        <v>3</v>
      </c>
      <c r="AE26">
        <v>4</v>
      </c>
      <c r="AF26">
        <v>3</v>
      </c>
    </row>
    <row r="27" spans="1:32" x14ac:dyDescent="0.2">
      <c r="A27" t="s">
        <v>31</v>
      </c>
      <c r="B27">
        <v>5</v>
      </c>
      <c r="C27">
        <v>3</v>
      </c>
      <c r="D27">
        <v>2</v>
      </c>
      <c r="E27">
        <v>3</v>
      </c>
      <c r="F27">
        <v>3</v>
      </c>
      <c r="G27">
        <v>3</v>
      </c>
      <c r="J27" s="2" t="s">
        <v>31</v>
      </c>
      <c r="K27" s="2">
        <v>3</v>
      </c>
      <c r="L27" s="2">
        <v>2</v>
      </c>
      <c r="M27" s="2">
        <v>1</v>
      </c>
      <c r="N27" s="2">
        <v>2</v>
      </c>
      <c r="O27" s="2">
        <v>2</v>
      </c>
      <c r="P27" s="2">
        <v>2</v>
      </c>
      <c r="Z27" t="s">
        <v>31</v>
      </c>
      <c r="AA27">
        <v>5</v>
      </c>
      <c r="AB27">
        <v>3</v>
      </c>
      <c r="AC27">
        <v>2</v>
      </c>
      <c r="AD27">
        <v>3</v>
      </c>
      <c r="AE27">
        <v>3</v>
      </c>
      <c r="AF27">
        <v>3</v>
      </c>
    </row>
    <row r="28" spans="1:32" x14ac:dyDescent="0.2">
      <c r="A28" t="s">
        <v>31</v>
      </c>
      <c r="B28">
        <v>3</v>
      </c>
      <c r="C28">
        <v>4</v>
      </c>
      <c r="D28">
        <v>3</v>
      </c>
      <c r="E28">
        <v>2</v>
      </c>
      <c r="F28">
        <v>3</v>
      </c>
      <c r="G28">
        <v>3</v>
      </c>
      <c r="J28" s="2" t="s">
        <v>31</v>
      </c>
      <c r="K28" s="2">
        <v>2</v>
      </c>
      <c r="L28" s="2">
        <v>3</v>
      </c>
      <c r="M28" s="2">
        <v>2</v>
      </c>
      <c r="N28" s="2">
        <v>1</v>
      </c>
      <c r="O28" s="2">
        <v>2</v>
      </c>
      <c r="P28" s="2">
        <v>2</v>
      </c>
      <c r="Z28" t="s">
        <v>31</v>
      </c>
      <c r="AA28">
        <v>3</v>
      </c>
      <c r="AB28">
        <v>4</v>
      </c>
      <c r="AC28">
        <v>3</v>
      </c>
      <c r="AD28">
        <v>2</v>
      </c>
      <c r="AE28">
        <v>3</v>
      </c>
      <c r="AF28">
        <v>3</v>
      </c>
    </row>
    <row r="29" spans="1:32" x14ac:dyDescent="0.2">
      <c r="A29" t="s">
        <v>31</v>
      </c>
      <c r="B29">
        <v>2</v>
      </c>
      <c r="C29">
        <v>2</v>
      </c>
      <c r="D29">
        <v>3</v>
      </c>
      <c r="E29">
        <v>2</v>
      </c>
      <c r="F29">
        <v>3</v>
      </c>
      <c r="G29">
        <v>3</v>
      </c>
      <c r="J29" s="2" t="s">
        <v>31</v>
      </c>
      <c r="K29" s="2">
        <v>1</v>
      </c>
      <c r="L29" s="2">
        <v>1</v>
      </c>
      <c r="M29" s="2">
        <v>2</v>
      </c>
      <c r="N29" s="2">
        <v>1</v>
      </c>
      <c r="O29" s="2">
        <v>2</v>
      </c>
      <c r="P29" s="2">
        <v>2</v>
      </c>
      <c r="Z29" t="s">
        <v>31</v>
      </c>
      <c r="AA29">
        <v>2</v>
      </c>
      <c r="AB29">
        <v>2</v>
      </c>
      <c r="AC29">
        <v>3</v>
      </c>
      <c r="AD29">
        <v>2</v>
      </c>
      <c r="AE29">
        <v>3</v>
      </c>
      <c r="AF29">
        <v>3</v>
      </c>
    </row>
    <row r="30" spans="1:32" x14ac:dyDescent="0.2">
      <c r="A30" t="s">
        <v>31</v>
      </c>
      <c r="B30">
        <v>5</v>
      </c>
      <c r="C30">
        <v>5</v>
      </c>
      <c r="D30">
        <v>4</v>
      </c>
      <c r="E30">
        <v>1</v>
      </c>
      <c r="F30">
        <v>3</v>
      </c>
      <c r="G30">
        <v>1</v>
      </c>
      <c r="J30" s="2" t="s">
        <v>31</v>
      </c>
      <c r="K30" s="2">
        <v>3</v>
      </c>
      <c r="L30" s="2">
        <v>3</v>
      </c>
      <c r="M30" s="2">
        <v>3</v>
      </c>
      <c r="N30" s="2">
        <v>1</v>
      </c>
      <c r="O30" s="2">
        <v>2</v>
      </c>
      <c r="P30" s="2">
        <v>1</v>
      </c>
      <c r="Z30" t="s">
        <v>31</v>
      </c>
      <c r="AA30">
        <v>5</v>
      </c>
      <c r="AB30">
        <v>5</v>
      </c>
      <c r="AC30">
        <v>4</v>
      </c>
      <c r="AD30">
        <v>1</v>
      </c>
      <c r="AE30">
        <v>3</v>
      </c>
      <c r="AF30">
        <v>1</v>
      </c>
    </row>
    <row r="31" spans="1:32" x14ac:dyDescent="0.2">
      <c r="A31" t="s">
        <v>31</v>
      </c>
      <c r="B31">
        <v>5</v>
      </c>
      <c r="C31">
        <v>5</v>
      </c>
      <c r="D31">
        <v>5</v>
      </c>
      <c r="E31">
        <v>2</v>
      </c>
      <c r="F31">
        <v>4</v>
      </c>
      <c r="G31">
        <v>2</v>
      </c>
      <c r="J31" s="2" t="s">
        <v>31</v>
      </c>
      <c r="K31" s="2">
        <v>3</v>
      </c>
      <c r="L31" s="2">
        <v>3</v>
      </c>
      <c r="M31" s="2">
        <v>3</v>
      </c>
      <c r="N31" s="2">
        <v>1</v>
      </c>
      <c r="O31" s="2">
        <v>3</v>
      </c>
      <c r="P31" s="2">
        <v>1</v>
      </c>
      <c r="Z31" t="s">
        <v>31</v>
      </c>
      <c r="AA31">
        <v>5</v>
      </c>
      <c r="AB31">
        <v>5</v>
      </c>
      <c r="AC31">
        <v>5</v>
      </c>
      <c r="AD31">
        <v>2</v>
      </c>
      <c r="AE31">
        <v>4</v>
      </c>
      <c r="AF31">
        <v>2</v>
      </c>
    </row>
    <row r="32" spans="1:32" x14ac:dyDescent="0.2">
      <c r="A32" t="s">
        <v>31</v>
      </c>
      <c r="B32">
        <v>4</v>
      </c>
      <c r="C32">
        <v>4</v>
      </c>
      <c r="D32">
        <v>5</v>
      </c>
      <c r="E32">
        <v>4</v>
      </c>
      <c r="F32">
        <v>4</v>
      </c>
      <c r="G32">
        <v>4</v>
      </c>
      <c r="J32" s="2" t="s">
        <v>31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Z32" t="s">
        <v>31</v>
      </c>
      <c r="AA32">
        <v>4</v>
      </c>
      <c r="AB32">
        <v>4</v>
      </c>
      <c r="AC32">
        <v>5</v>
      </c>
      <c r="AD32">
        <v>4</v>
      </c>
      <c r="AE32">
        <v>4</v>
      </c>
      <c r="AF32">
        <v>4</v>
      </c>
    </row>
    <row r="33" spans="1:32" x14ac:dyDescent="0.2">
      <c r="A33" t="s">
        <v>31</v>
      </c>
      <c r="B33">
        <v>3</v>
      </c>
      <c r="C33">
        <v>3</v>
      </c>
      <c r="D33">
        <v>4</v>
      </c>
      <c r="E33">
        <v>3</v>
      </c>
      <c r="F33">
        <v>3</v>
      </c>
      <c r="G33">
        <v>4</v>
      </c>
      <c r="J33" s="2" t="s">
        <v>31</v>
      </c>
      <c r="K33" s="2">
        <v>2</v>
      </c>
      <c r="L33" s="2">
        <v>2</v>
      </c>
      <c r="M33" s="2">
        <v>3</v>
      </c>
      <c r="N33" s="2">
        <v>2</v>
      </c>
      <c r="O33" s="2">
        <v>2</v>
      </c>
      <c r="P33" s="2">
        <v>3</v>
      </c>
      <c r="Z33" t="s">
        <v>31</v>
      </c>
      <c r="AA33">
        <v>3</v>
      </c>
      <c r="AB33">
        <v>3</v>
      </c>
      <c r="AC33">
        <v>4</v>
      </c>
      <c r="AD33">
        <v>3</v>
      </c>
      <c r="AE33">
        <v>3</v>
      </c>
      <c r="AF33">
        <v>4</v>
      </c>
    </row>
    <row r="34" spans="1:32" x14ac:dyDescent="0.2">
      <c r="A34" t="s">
        <v>31</v>
      </c>
      <c r="B34">
        <v>2</v>
      </c>
      <c r="C34">
        <v>2</v>
      </c>
      <c r="D34">
        <v>3</v>
      </c>
      <c r="E34">
        <v>1</v>
      </c>
      <c r="F34">
        <v>2</v>
      </c>
      <c r="G34">
        <v>3</v>
      </c>
      <c r="J34" s="2" t="s">
        <v>31</v>
      </c>
      <c r="K34" s="2">
        <v>1</v>
      </c>
      <c r="L34" s="2">
        <v>1</v>
      </c>
      <c r="M34" s="2">
        <v>2</v>
      </c>
      <c r="N34" s="2">
        <v>1</v>
      </c>
      <c r="O34" s="2">
        <v>1</v>
      </c>
      <c r="P34" s="2">
        <v>2</v>
      </c>
      <c r="Z34" t="s">
        <v>31</v>
      </c>
      <c r="AA34">
        <v>2</v>
      </c>
      <c r="AB34">
        <v>2</v>
      </c>
      <c r="AC34">
        <v>3</v>
      </c>
      <c r="AD34">
        <v>1</v>
      </c>
      <c r="AE34">
        <v>2</v>
      </c>
      <c r="AF34">
        <v>3</v>
      </c>
    </row>
    <row r="35" spans="1:32" x14ac:dyDescent="0.2">
      <c r="A35" t="s">
        <v>31</v>
      </c>
      <c r="B35">
        <v>5</v>
      </c>
      <c r="C35">
        <v>3</v>
      </c>
      <c r="D35">
        <v>3</v>
      </c>
      <c r="E35">
        <v>3</v>
      </c>
      <c r="F35">
        <v>4</v>
      </c>
      <c r="G35">
        <v>4</v>
      </c>
      <c r="J35" s="2" t="s">
        <v>31</v>
      </c>
      <c r="K35" s="2">
        <v>3</v>
      </c>
      <c r="L35" s="2">
        <v>2</v>
      </c>
      <c r="M35" s="2">
        <v>2</v>
      </c>
      <c r="N35" s="2">
        <v>2</v>
      </c>
      <c r="O35" s="2">
        <v>3</v>
      </c>
      <c r="P35" s="2">
        <v>3</v>
      </c>
      <c r="Z35" t="s">
        <v>31</v>
      </c>
      <c r="AA35">
        <v>5</v>
      </c>
      <c r="AB35">
        <v>3</v>
      </c>
      <c r="AC35">
        <v>3</v>
      </c>
      <c r="AD35">
        <v>3</v>
      </c>
      <c r="AE35">
        <v>4</v>
      </c>
      <c r="AF35">
        <v>4</v>
      </c>
    </row>
    <row r="36" spans="1:32" x14ac:dyDescent="0.2">
      <c r="A36" t="s">
        <v>31</v>
      </c>
      <c r="B36">
        <v>5</v>
      </c>
      <c r="C36">
        <v>5</v>
      </c>
      <c r="D36">
        <v>5</v>
      </c>
      <c r="E36">
        <v>4</v>
      </c>
      <c r="F36">
        <v>5</v>
      </c>
      <c r="G36">
        <v>4</v>
      </c>
      <c r="J36" s="2" t="s">
        <v>31</v>
      </c>
      <c r="K36" s="2">
        <v>3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Z36" t="s">
        <v>31</v>
      </c>
      <c r="AA36">
        <v>5</v>
      </c>
      <c r="AB36">
        <v>5</v>
      </c>
      <c r="AC36">
        <v>5</v>
      </c>
      <c r="AD36">
        <v>4</v>
      </c>
      <c r="AE36">
        <v>5</v>
      </c>
      <c r="AF36">
        <v>4</v>
      </c>
    </row>
    <row r="37" spans="1:32" x14ac:dyDescent="0.2">
      <c r="A37" t="s">
        <v>31</v>
      </c>
      <c r="B37">
        <v>2</v>
      </c>
      <c r="C37">
        <v>3</v>
      </c>
      <c r="D37">
        <v>3</v>
      </c>
      <c r="E37">
        <v>2</v>
      </c>
      <c r="F37">
        <v>4</v>
      </c>
      <c r="G37">
        <v>4</v>
      </c>
      <c r="J37" s="2" t="s">
        <v>31</v>
      </c>
      <c r="K37" s="2">
        <v>1</v>
      </c>
      <c r="L37" s="2">
        <v>2</v>
      </c>
      <c r="M37" s="2">
        <v>2</v>
      </c>
      <c r="N37" s="2">
        <v>1</v>
      </c>
      <c r="O37" s="2">
        <v>3</v>
      </c>
      <c r="P37" s="2">
        <v>3</v>
      </c>
      <c r="Z37" t="s">
        <v>31</v>
      </c>
      <c r="AA37">
        <v>2</v>
      </c>
      <c r="AB37">
        <v>3</v>
      </c>
      <c r="AC37">
        <v>3</v>
      </c>
      <c r="AD37">
        <v>2</v>
      </c>
      <c r="AE37">
        <v>4</v>
      </c>
      <c r="AF37">
        <v>4</v>
      </c>
    </row>
    <row r="38" spans="1:32" x14ac:dyDescent="0.2">
      <c r="A38" t="s">
        <v>31</v>
      </c>
      <c r="B38">
        <v>4</v>
      </c>
      <c r="C38">
        <v>4</v>
      </c>
      <c r="D38">
        <v>3</v>
      </c>
      <c r="E38">
        <v>2</v>
      </c>
      <c r="F38">
        <v>3</v>
      </c>
      <c r="G38">
        <v>3</v>
      </c>
      <c r="J38" s="2" t="s">
        <v>31</v>
      </c>
      <c r="K38" s="2">
        <v>3</v>
      </c>
      <c r="L38" s="2">
        <v>3</v>
      </c>
      <c r="M38" s="2">
        <v>2</v>
      </c>
      <c r="N38" s="2">
        <v>1</v>
      </c>
      <c r="O38" s="2">
        <v>2</v>
      </c>
      <c r="P38" s="2">
        <v>2</v>
      </c>
      <c r="Z38" t="s">
        <v>31</v>
      </c>
      <c r="AA38">
        <v>4</v>
      </c>
      <c r="AB38">
        <v>4</v>
      </c>
      <c r="AC38">
        <v>3</v>
      </c>
      <c r="AD38">
        <v>2</v>
      </c>
      <c r="AE38">
        <v>3</v>
      </c>
      <c r="AF38">
        <v>3</v>
      </c>
    </row>
    <row r="39" spans="1:32" x14ac:dyDescent="0.2">
      <c r="A39" t="s">
        <v>31</v>
      </c>
      <c r="B39">
        <v>5</v>
      </c>
      <c r="C39">
        <v>5</v>
      </c>
      <c r="D39">
        <v>5</v>
      </c>
      <c r="E39">
        <v>3</v>
      </c>
      <c r="F39">
        <v>5</v>
      </c>
      <c r="G39">
        <v>5</v>
      </c>
      <c r="J39" s="2" t="s">
        <v>31</v>
      </c>
      <c r="K39" s="2">
        <v>3</v>
      </c>
      <c r="L39" s="2">
        <v>3</v>
      </c>
      <c r="M39" s="2">
        <v>3</v>
      </c>
      <c r="N39" s="2">
        <v>2</v>
      </c>
      <c r="O39" s="2">
        <v>3</v>
      </c>
      <c r="P39" s="2">
        <v>3</v>
      </c>
      <c r="Z39" t="s">
        <v>31</v>
      </c>
      <c r="AA39">
        <v>5</v>
      </c>
      <c r="AB39">
        <v>5</v>
      </c>
      <c r="AC39">
        <v>5</v>
      </c>
      <c r="AD39">
        <v>3</v>
      </c>
      <c r="AE39">
        <v>5</v>
      </c>
      <c r="AF39">
        <v>5</v>
      </c>
    </row>
    <row r="40" spans="1:32" x14ac:dyDescent="0.2">
      <c r="A40" t="s">
        <v>31</v>
      </c>
      <c r="B40">
        <v>5</v>
      </c>
      <c r="C40">
        <v>5</v>
      </c>
      <c r="D40">
        <v>4</v>
      </c>
      <c r="E40">
        <v>3</v>
      </c>
      <c r="F40">
        <v>5</v>
      </c>
      <c r="G40">
        <v>5</v>
      </c>
      <c r="J40" s="2" t="s">
        <v>31</v>
      </c>
      <c r="K40" s="2">
        <v>3</v>
      </c>
      <c r="L40" s="2">
        <v>3</v>
      </c>
      <c r="M40" s="2">
        <v>3</v>
      </c>
      <c r="N40" s="2">
        <v>2</v>
      </c>
      <c r="O40" s="2">
        <v>3</v>
      </c>
      <c r="P40" s="2">
        <v>3</v>
      </c>
      <c r="Z40" t="s">
        <v>31</v>
      </c>
      <c r="AA40">
        <v>5</v>
      </c>
      <c r="AB40">
        <v>5</v>
      </c>
      <c r="AC40">
        <v>4</v>
      </c>
      <c r="AD40">
        <v>3</v>
      </c>
      <c r="AE40">
        <v>5</v>
      </c>
      <c r="AF40">
        <v>5</v>
      </c>
    </row>
    <row r="41" spans="1:32" x14ac:dyDescent="0.2">
      <c r="A41" t="s">
        <v>31</v>
      </c>
      <c r="B41">
        <v>4</v>
      </c>
      <c r="C41">
        <v>4</v>
      </c>
      <c r="D41">
        <v>5</v>
      </c>
      <c r="E41">
        <v>4</v>
      </c>
      <c r="F41">
        <v>4</v>
      </c>
      <c r="G41">
        <v>5</v>
      </c>
      <c r="J41" s="2" t="s">
        <v>31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Z41" t="s">
        <v>31</v>
      </c>
      <c r="AA41">
        <v>4</v>
      </c>
      <c r="AB41">
        <v>4</v>
      </c>
      <c r="AC41">
        <v>5</v>
      </c>
      <c r="AD41">
        <v>4</v>
      </c>
      <c r="AE41">
        <v>4</v>
      </c>
      <c r="AF41">
        <v>5</v>
      </c>
    </row>
    <row r="42" spans="1:32" x14ac:dyDescent="0.2">
      <c r="A42" t="s">
        <v>31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J42" s="2" t="s">
        <v>31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Z42" t="s">
        <v>31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</row>
    <row r="43" spans="1:32" x14ac:dyDescent="0.2">
      <c r="A43" t="s">
        <v>31</v>
      </c>
      <c r="B43">
        <v>5</v>
      </c>
      <c r="C43">
        <v>4</v>
      </c>
      <c r="D43">
        <v>5</v>
      </c>
      <c r="E43">
        <v>5</v>
      </c>
      <c r="F43">
        <v>5</v>
      </c>
      <c r="G43">
        <v>4</v>
      </c>
      <c r="J43" s="2" t="s">
        <v>31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Z43" t="s">
        <v>31</v>
      </c>
      <c r="AA43">
        <v>5</v>
      </c>
      <c r="AB43">
        <v>4</v>
      </c>
      <c r="AC43">
        <v>5</v>
      </c>
      <c r="AD43">
        <v>5</v>
      </c>
      <c r="AE43">
        <v>5</v>
      </c>
      <c r="AF43">
        <v>4</v>
      </c>
    </row>
    <row r="44" spans="1:32" x14ac:dyDescent="0.2">
      <c r="A44" t="s">
        <v>31</v>
      </c>
      <c r="B44">
        <v>3</v>
      </c>
      <c r="C44">
        <v>4</v>
      </c>
      <c r="D44">
        <v>4</v>
      </c>
      <c r="E44">
        <v>3</v>
      </c>
      <c r="F44">
        <v>3</v>
      </c>
      <c r="G44">
        <v>3</v>
      </c>
      <c r="J44" s="2" t="s">
        <v>31</v>
      </c>
      <c r="K44" s="2">
        <v>2</v>
      </c>
      <c r="L44" s="2">
        <v>3</v>
      </c>
      <c r="M44" s="2">
        <v>3</v>
      </c>
      <c r="N44" s="2">
        <v>2</v>
      </c>
      <c r="O44" s="2">
        <v>2</v>
      </c>
      <c r="P44" s="2">
        <v>2</v>
      </c>
      <c r="Z44" t="s">
        <v>31</v>
      </c>
      <c r="AA44">
        <v>3</v>
      </c>
      <c r="AB44">
        <v>4</v>
      </c>
      <c r="AC44">
        <v>4</v>
      </c>
      <c r="AD44">
        <v>3</v>
      </c>
      <c r="AE44">
        <v>3</v>
      </c>
      <c r="AF44">
        <v>3</v>
      </c>
    </row>
    <row r="45" spans="1:32" x14ac:dyDescent="0.2">
      <c r="A45" t="s">
        <v>31</v>
      </c>
      <c r="B45">
        <v>4</v>
      </c>
      <c r="C45">
        <v>4</v>
      </c>
      <c r="D45">
        <v>2</v>
      </c>
      <c r="E45">
        <v>4</v>
      </c>
      <c r="F45">
        <v>3</v>
      </c>
      <c r="G45">
        <v>4</v>
      </c>
      <c r="J45" s="2" t="s">
        <v>31</v>
      </c>
      <c r="K45" s="2">
        <v>3</v>
      </c>
      <c r="L45" s="2">
        <v>3</v>
      </c>
      <c r="M45" s="2">
        <v>1</v>
      </c>
      <c r="N45" s="2">
        <v>3</v>
      </c>
      <c r="O45" s="2">
        <v>2</v>
      </c>
      <c r="P45" s="2">
        <v>3</v>
      </c>
      <c r="Z45" t="s">
        <v>31</v>
      </c>
      <c r="AA45">
        <v>4</v>
      </c>
      <c r="AB45">
        <v>4</v>
      </c>
      <c r="AC45">
        <v>2</v>
      </c>
      <c r="AD45">
        <v>4</v>
      </c>
      <c r="AE45">
        <v>3</v>
      </c>
      <c r="AF45">
        <v>4</v>
      </c>
    </row>
    <row r="46" spans="1:32" x14ac:dyDescent="0.2">
      <c r="A46" t="s">
        <v>31</v>
      </c>
      <c r="B46">
        <v>5</v>
      </c>
      <c r="C46">
        <v>5</v>
      </c>
      <c r="D46">
        <v>4</v>
      </c>
      <c r="E46">
        <v>5</v>
      </c>
      <c r="F46">
        <v>5</v>
      </c>
      <c r="G46">
        <v>5</v>
      </c>
      <c r="J46" s="2" t="s">
        <v>31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Z46" t="s">
        <v>31</v>
      </c>
      <c r="AA46">
        <v>5</v>
      </c>
      <c r="AB46">
        <v>5</v>
      </c>
      <c r="AC46">
        <v>4</v>
      </c>
      <c r="AD46">
        <v>5</v>
      </c>
      <c r="AE46">
        <v>5</v>
      </c>
      <c r="AF46">
        <v>5</v>
      </c>
    </row>
    <row r="47" spans="1:32" x14ac:dyDescent="0.2">
      <c r="A47" t="s">
        <v>31</v>
      </c>
      <c r="B47">
        <v>3</v>
      </c>
      <c r="C47">
        <v>4</v>
      </c>
      <c r="D47">
        <v>4</v>
      </c>
      <c r="E47">
        <v>3</v>
      </c>
      <c r="F47">
        <v>4</v>
      </c>
      <c r="G47">
        <v>4</v>
      </c>
      <c r="J47" s="2" t="s">
        <v>31</v>
      </c>
      <c r="K47" s="2">
        <v>2</v>
      </c>
      <c r="L47" s="2">
        <v>3</v>
      </c>
      <c r="M47" s="2">
        <v>3</v>
      </c>
      <c r="N47" s="2">
        <v>2</v>
      </c>
      <c r="O47" s="2">
        <v>3</v>
      </c>
      <c r="P47" s="2">
        <v>3</v>
      </c>
      <c r="Z47" t="s">
        <v>31</v>
      </c>
      <c r="AA47">
        <v>3</v>
      </c>
      <c r="AB47">
        <v>4</v>
      </c>
      <c r="AC47">
        <v>4</v>
      </c>
      <c r="AD47">
        <v>3</v>
      </c>
      <c r="AE47">
        <v>4</v>
      </c>
      <c r="AF47">
        <v>4</v>
      </c>
    </row>
    <row r="48" spans="1:32" x14ac:dyDescent="0.2">
      <c r="A48" t="s">
        <v>31</v>
      </c>
      <c r="B48">
        <v>4</v>
      </c>
      <c r="C48">
        <v>4</v>
      </c>
      <c r="D48">
        <v>4</v>
      </c>
      <c r="E48">
        <v>3</v>
      </c>
      <c r="F48">
        <v>4</v>
      </c>
      <c r="G48">
        <v>4</v>
      </c>
      <c r="J48" s="2" t="s">
        <v>31</v>
      </c>
      <c r="K48" s="2">
        <v>3</v>
      </c>
      <c r="L48" s="2">
        <v>3</v>
      </c>
      <c r="M48" s="2">
        <v>3</v>
      </c>
      <c r="N48" s="2">
        <v>2</v>
      </c>
      <c r="O48" s="2">
        <v>3</v>
      </c>
      <c r="P48" s="2">
        <v>3</v>
      </c>
      <c r="Z48" t="s">
        <v>31</v>
      </c>
      <c r="AA48">
        <v>4</v>
      </c>
      <c r="AB48">
        <v>4</v>
      </c>
      <c r="AC48">
        <v>4</v>
      </c>
      <c r="AD48">
        <v>3</v>
      </c>
      <c r="AE48">
        <v>4</v>
      </c>
      <c r="AF48">
        <v>4</v>
      </c>
    </row>
    <row r="49" spans="1:32" x14ac:dyDescent="0.2">
      <c r="A49" t="s">
        <v>31</v>
      </c>
      <c r="B49">
        <v>4</v>
      </c>
      <c r="C49">
        <v>5</v>
      </c>
      <c r="D49">
        <v>5</v>
      </c>
      <c r="E49">
        <v>3</v>
      </c>
      <c r="F49">
        <v>4</v>
      </c>
      <c r="G49">
        <v>4</v>
      </c>
      <c r="J49" s="2" t="s">
        <v>31</v>
      </c>
      <c r="K49" s="2">
        <v>3</v>
      </c>
      <c r="L49" s="2">
        <v>3</v>
      </c>
      <c r="M49" s="2">
        <v>3</v>
      </c>
      <c r="N49" s="2">
        <v>2</v>
      </c>
      <c r="O49" s="2">
        <v>3</v>
      </c>
      <c r="P49" s="2">
        <v>3</v>
      </c>
      <c r="Z49" t="s">
        <v>31</v>
      </c>
      <c r="AA49">
        <v>4</v>
      </c>
      <c r="AB49">
        <v>5</v>
      </c>
      <c r="AC49">
        <v>5</v>
      </c>
      <c r="AD49">
        <v>3</v>
      </c>
      <c r="AE49">
        <v>4</v>
      </c>
      <c r="AF49">
        <v>4</v>
      </c>
    </row>
    <row r="50" spans="1:32" x14ac:dyDescent="0.2">
      <c r="A50" t="s">
        <v>31</v>
      </c>
      <c r="B50">
        <v>4</v>
      </c>
      <c r="C50">
        <v>5</v>
      </c>
      <c r="D50">
        <v>4</v>
      </c>
      <c r="E50">
        <v>4</v>
      </c>
      <c r="F50">
        <v>5</v>
      </c>
      <c r="G50">
        <v>4</v>
      </c>
      <c r="J50" s="2" t="s">
        <v>31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Z50" t="s">
        <v>31</v>
      </c>
      <c r="AA50">
        <v>4</v>
      </c>
      <c r="AB50">
        <v>5</v>
      </c>
      <c r="AC50">
        <v>4</v>
      </c>
      <c r="AD50">
        <v>4</v>
      </c>
      <c r="AE50">
        <v>5</v>
      </c>
      <c r="AF50">
        <v>4</v>
      </c>
    </row>
    <row r="51" spans="1:32" x14ac:dyDescent="0.2">
      <c r="A51" t="s">
        <v>31</v>
      </c>
      <c r="B51">
        <v>3</v>
      </c>
      <c r="C51">
        <v>3</v>
      </c>
      <c r="D51">
        <v>4</v>
      </c>
      <c r="E51">
        <v>2</v>
      </c>
      <c r="F51">
        <v>4</v>
      </c>
      <c r="G51">
        <v>3</v>
      </c>
      <c r="J51" s="2" t="s">
        <v>31</v>
      </c>
      <c r="K51" s="2">
        <v>2</v>
      </c>
      <c r="L51" s="2">
        <v>2</v>
      </c>
      <c r="M51" s="2">
        <v>3</v>
      </c>
      <c r="N51" s="2">
        <v>1</v>
      </c>
      <c r="O51" s="2">
        <v>3</v>
      </c>
      <c r="P51" s="2">
        <v>2</v>
      </c>
      <c r="Z51" t="s">
        <v>31</v>
      </c>
      <c r="AA51">
        <v>3</v>
      </c>
      <c r="AB51">
        <v>3</v>
      </c>
      <c r="AC51">
        <v>4</v>
      </c>
      <c r="AD51">
        <v>2</v>
      </c>
      <c r="AE51">
        <v>4</v>
      </c>
      <c r="AF51">
        <v>3</v>
      </c>
    </row>
    <row r="52" spans="1:32" x14ac:dyDescent="0.2">
      <c r="A52" t="s">
        <v>31</v>
      </c>
      <c r="B52">
        <v>4</v>
      </c>
      <c r="C52">
        <v>5</v>
      </c>
      <c r="D52">
        <v>5</v>
      </c>
      <c r="E52">
        <v>2</v>
      </c>
      <c r="F52">
        <v>5</v>
      </c>
      <c r="G52">
        <v>5</v>
      </c>
      <c r="J52" s="2" t="s">
        <v>31</v>
      </c>
      <c r="K52" s="2">
        <v>3</v>
      </c>
      <c r="L52" s="2">
        <v>3</v>
      </c>
      <c r="M52" s="2">
        <v>3</v>
      </c>
      <c r="N52" s="2">
        <v>1</v>
      </c>
      <c r="O52" s="2">
        <v>3</v>
      </c>
      <c r="P52" s="2">
        <v>3</v>
      </c>
      <c r="Z52" t="s">
        <v>31</v>
      </c>
      <c r="AA52">
        <v>4</v>
      </c>
      <c r="AB52">
        <v>5</v>
      </c>
      <c r="AC52">
        <v>5</v>
      </c>
      <c r="AD52">
        <v>2</v>
      </c>
      <c r="AE52">
        <v>5</v>
      </c>
      <c r="AF52">
        <v>5</v>
      </c>
    </row>
    <row r="53" spans="1:32" x14ac:dyDescent="0.2">
      <c r="A53" t="s">
        <v>31</v>
      </c>
      <c r="B53">
        <v>4</v>
      </c>
      <c r="C53">
        <v>3</v>
      </c>
      <c r="D53">
        <v>4</v>
      </c>
      <c r="E53">
        <v>3</v>
      </c>
      <c r="F53">
        <v>4</v>
      </c>
      <c r="G53">
        <v>4</v>
      </c>
      <c r="J53" s="2" t="s">
        <v>31</v>
      </c>
      <c r="K53" s="2">
        <v>3</v>
      </c>
      <c r="L53" s="2">
        <v>2</v>
      </c>
      <c r="M53" s="2">
        <v>3</v>
      </c>
      <c r="N53" s="2">
        <v>2</v>
      </c>
      <c r="O53" s="2">
        <v>3</v>
      </c>
      <c r="P53" s="2">
        <v>3</v>
      </c>
      <c r="Z53" t="s">
        <v>31</v>
      </c>
      <c r="AA53">
        <v>4</v>
      </c>
      <c r="AB53">
        <v>3</v>
      </c>
      <c r="AC53">
        <v>4</v>
      </c>
      <c r="AD53">
        <v>3</v>
      </c>
      <c r="AE53">
        <v>4</v>
      </c>
      <c r="AF53">
        <v>4</v>
      </c>
    </row>
    <row r="54" spans="1:32" x14ac:dyDescent="0.2">
      <c r="A54" t="s">
        <v>31</v>
      </c>
      <c r="B54">
        <v>3</v>
      </c>
      <c r="C54">
        <v>4</v>
      </c>
      <c r="D54">
        <v>3</v>
      </c>
      <c r="E54">
        <v>3</v>
      </c>
      <c r="F54">
        <v>4</v>
      </c>
      <c r="G54">
        <v>3</v>
      </c>
      <c r="J54" s="2" t="s">
        <v>31</v>
      </c>
      <c r="K54" s="2">
        <v>2</v>
      </c>
      <c r="L54" s="2">
        <v>3</v>
      </c>
      <c r="M54" s="2">
        <v>2</v>
      </c>
      <c r="N54" s="2">
        <v>2</v>
      </c>
      <c r="O54" s="2">
        <v>3</v>
      </c>
      <c r="P54" s="2">
        <v>2</v>
      </c>
      <c r="Z54" t="s">
        <v>31</v>
      </c>
      <c r="AA54">
        <v>3</v>
      </c>
      <c r="AB54">
        <v>4</v>
      </c>
      <c r="AC54">
        <v>3</v>
      </c>
      <c r="AD54">
        <v>3</v>
      </c>
      <c r="AE54">
        <v>4</v>
      </c>
      <c r="AF54">
        <v>3</v>
      </c>
    </row>
    <row r="55" spans="1:32" x14ac:dyDescent="0.2">
      <c r="A55" t="s">
        <v>31</v>
      </c>
      <c r="B55">
        <v>3</v>
      </c>
      <c r="C55">
        <v>4</v>
      </c>
      <c r="D55">
        <v>4</v>
      </c>
      <c r="E55">
        <v>4</v>
      </c>
      <c r="F55">
        <v>3</v>
      </c>
      <c r="G55">
        <v>3</v>
      </c>
      <c r="J55" s="2" t="s">
        <v>31</v>
      </c>
      <c r="K55" s="2">
        <v>2</v>
      </c>
      <c r="L55" s="2">
        <v>3</v>
      </c>
      <c r="M55" s="2">
        <v>3</v>
      </c>
      <c r="N55" s="2">
        <v>3</v>
      </c>
      <c r="O55" s="2">
        <v>2</v>
      </c>
      <c r="P55" s="2">
        <v>2</v>
      </c>
      <c r="Z55" t="s">
        <v>31</v>
      </c>
      <c r="AA55">
        <v>3</v>
      </c>
      <c r="AB55">
        <v>4</v>
      </c>
      <c r="AC55">
        <v>4</v>
      </c>
      <c r="AD55">
        <v>4</v>
      </c>
      <c r="AE55">
        <v>3</v>
      </c>
      <c r="AF55">
        <v>3</v>
      </c>
    </row>
    <row r="56" spans="1:32" x14ac:dyDescent="0.2">
      <c r="A56" t="s">
        <v>31</v>
      </c>
      <c r="B56">
        <v>5</v>
      </c>
      <c r="C56">
        <v>3</v>
      </c>
      <c r="D56">
        <v>3</v>
      </c>
      <c r="E56">
        <v>3</v>
      </c>
      <c r="F56">
        <v>4</v>
      </c>
      <c r="G56">
        <v>2</v>
      </c>
      <c r="J56" s="2" t="s">
        <v>31</v>
      </c>
      <c r="K56" s="2">
        <v>3</v>
      </c>
      <c r="L56" s="2">
        <v>2</v>
      </c>
      <c r="M56" s="2">
        <v>2</v>
      </c>
      <c r="N56" s="2">
        <v>2</v>
      </c>
      <c r="O56" s="2">
        <v>3</v>
      </c>
      <c r="P56" s="2">
        <v>1</v>
      </c>
      <c r="Z56" t="s">
        <v>31</v>
      </c>
      <c r="AA56">
        <v>5</v>
      </c>
      <c r="AB56">
        <v>3</v>
      </c>
      <c r="AC56">
        <v>3</v>
      </c>
      <c r="AD56">
        <v>3</v>
      </c>
      <c r="AE56">
        <v>4</v>
      </c>
      <c r="AF56">
        <v>2</v>
      </c>
    </row>
    <row r="57" spans="1:32" x14ac:dyDescent="0.2">
      <c r="A57" t="s">
        <v>31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J57" s="2" t="s">
        <v>31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Z57" t="s">
        <v>31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</row>
    <row r="58" spans="1:32" x14ac:dyDescent="0.2">
      <c r="A58" t="s">
        <v>31</v>
      </c>
      <c r="B58">
        <v>3</v>
      </c>
      <c r="C58">
        <v>5</v>
      </c>
      <c r="D58">
        <v>1</v>
      </c>
      <c r="E58">
        <v>5</v>
      </c>
      <c r="F58">
        <v>5</v>
      </c>
      <c r="G58">
        <v>3</v>
      </c>
      <c r="J58" s="2" t="s">
        <v>31</v>
      </c>
      <c r="K58" s="2">
        <v>2</v>
      </c>
      <c r="L58" s="2">
        <v>3</v>
      </c>
      <c r="M58" s="2">
        <v>1</v>
      </c>
      <c r="N58" s="2">
        <v>3</v>
      </c>
      <c r="O58" s="2">
        <v>3</v>
      </c>
      <c r="P58" s="2">
        <v>2</v>
      </c>
      <c r="Z58" t="s">
        <v>31</v>
      </c>
      <c r="AA58">
        <v>3</v>
      </c>
      <c r="AB58">
        <v>5</v>
      </c>
      <c r="AC58">
        <v>1</v>
      </c>
      <c r="AD58">
        <v>5</v>
      </c>
      <c r="AE58">
        <v>5</v>
      </c>
      <c r="AF58">
        <v>3</v>
      </c>
    </row>
    <row r="59" spans="1:32" x14ac:dyDescent="0.2">
      <c r="A59" t="s">
        <v>31</v>
      </c>
      <c r="B59">
        <v>4</v>
      </c>
      <c r="C59">
        <v>4</v>
      </c>
      <c r="D59">
        <v>3</v>
      </c>
      <c r="E59">
        <v>3</v>
      </c>
      <c r="F59">
        <v>4</v>
      </c>
      <c r="G59">
        <v>3</v>
      </c>
      <c r="J59" s="2" t="s">
        <v>31</v>
      </c>
      <c r="K59" s="2">
        <v>3</v>
      </c>
      <c r="L59" s="2">
        <v>3</v>
      </c>
      <c r="M59" s="2">
        <v>2</v>
      </c>
      <c r="N59" s="2">
        <v>2</v>
      </c>
      <c r="O59" s="2">
        <v>3</v>
      </c>
      <c r="P59" s="2">
        <v>2</v>
      </c>
      <c r="Z59" t="s">
        <v>31</v>
      </c>
      <c r="AA59">
        <v>4</v>
      </c>
      <c r="AB59">
        <v>4</v>
      </c>
      <c r="AC59">
        <v>3</v>
      </c>
      <c r="AD59">
        <v>3</v>
      </c>
      <c r="AE59">
        <v>4</v>
      </c>
      <c r="AF59">
        <v>3</v>
      </c>
    </row>
    <row r="60" spans="1:32" x14ac:dyDescent="0.2">
      <c r="A60" t="s">
        <v>31</v>
      </c>
      <c r="B60">
        <v>4</v>
      </c>
      <c r="C60">
        <v>3</v>
      </c>
      <c r="D60">
        <v>4</v>
      </c>
      <c r="E60">
        <v>3</v>
      </c>
      <c r="F60">
        <v>4</v>
      </c>
      <c r="G60">
        <v>5</v>
      </c>
      <c r="J60" s="2" t="s">
        <v>31</v>
      </c>
      <c r="K60" s="2">
        <v>3</v>
      </c>
      <c r="L60" s="2">
        <v>2</v>
      </c>
      <c r="M60" s="2">
        <v>3</v>
      </c>
      <c r="N60" s="2">
        <v>2</v>
      </c>
      <c r="O60" s="2">
        <v>3</v>
      </c>
      <c r="P60" s="2">
        <v>3</v>
      </c>
      <c r="Z60" t="s">
        <v>31</v>
      </c>
      <c r="AA60">
        <v>4</v>
      </c>
      <c r="AB60">
        <v>3</v>
      </c>
      <c r="AC60">
        <v>4</v>
      </c>
      <c r="AD60">
        <v>3</v>
      </c>
      <c r="AE60">
        <v>4</v>
      </c>
      <c r="AF60">
        <v>5</v>
      </c>
    </row>
    <row r="61" spans="1:32" x14ac:dyDescent="0.2">
      <c r="A61" s="4" t="s">
        <v>50</v>
      </c>
      <c r="B61" s="5">
        <f>AVERAGE(B4:B60)</f>
        <v>3.7719298245614037</v>
      </c>
      <c r="C61" s="5">
        <f>AVERAGE(C4:C60)</f>
        <v>3.9473684210526314</v>
      </c>
      <c r="D61" s="5">
        <f t="shared" ref="D61:G61" si="0">AVERAGE(D4:D60)</f>
        <v>3.6666666666666665</v>
      </c>
      <c r="E61" s="5">
        <f>AVERAGE(E4:E60)</f>
        <v>3.0701754385964914</v>
      </c>
      <c r="F61" s="5">
        <f t="shared" si="0"/>
        <v>3.9649122807017543</v>
      </c>
      <c r="G61" s="5">
        <f t="shared" si="0"/>
        <v>3.7017543859649122</v>
      </c>
    </row>
    <row r="62" spans="1:32" x14ac:dyDescent="0.2">
      <c r="Y62" s="8"/>
      <c r="Z62" s="2" t="s">
        <v>46</v>
      </c>
      <c r="AA62" s="2" t="s">
        <v>37</v>
      </c>
      <c r="AB62" s="2" t="s">
        <v>37</v>
      </c>
      <c r="AC62" s="2" t="s">
        <v>37</v>
      </c>
      <c r="AD62" s="2" t="s">
        <v>37</v>
      </c>
      <c r="AE62" s="2" t="s">
        <v>37</v>
      </c>
      <c r="AF62" s="2" t="s">
        <v>37</v>
      </c>
    </row>
    <row r="63" spans="1:32" x14ac:dyDescent="0.2">
      <c r="J63" s="2"/>
      <c r="K63" s="2" t="s">
        <v>4</v>
      </c>
      <c r="L63" s="2" t="s">
        <v>12</v>
      </c>
      <c r="M63" s="2" t="s">
        <v>13</v>
      </c>
      <c r="N63" s="2" t="s">
        <v>18</v>
      </c>
      <c r="O63" s="2" t="s">
        <v>23</v>
      </c>
      <c r="P63" s="2" t="s">
        <v>25</v>
      </c>
      <c r="AA63" t="s">
        <v>4</v>
      </c>
      <c r="AB63" t="s">
        <v>12</v>
      </c>
      <c r="AC63" t="s">
        <v>13</v>
      </c>
      <c r="AD63" t="s">
        <v>18</v>
      </c>
      <c r="AE63" t="s">
        <v>23</v>
      </c>
      <c r="AF63" t="s">
        <v>25</v>
      </c>
    </row>
    <row r="64" spans="1:32" x14ac:dyDescent="0.2">
      <c r="B64" t="s">
        <v>4</v>
      </c>
      <c r="C64" t="s">
        <v>12</v>
      </c>
      <c r="D64" t="s">
        <v>13</v>
      </c>
      <c r="E64" t="s">
        <v>18</v>
      </c>
      <c r="F64" t="s">
        <v>23</v>
      </c>
      <c r="G64" t="s">
        <v>25</v>
      </c>
      <c r="I64" s="2" t="s">
        <v>53</v>
      </c>
      <c r="Y64" s="8">
        <v>4</v>
      </c>
      <c r="Z64" t="s">
        <v>44</v>
      </c>
      <c r="AA64">
        <f>COUNTIF(AA$3:AA$59,$Y64)</f>
        <v>21</v>
      </c>
      <c r="AB64">
        <f t="shared" ref="AB64:AF65" si="1">COUNTIF(AB$3:AB$59,$Y64)</f>
        <v>26</v>
      </c>
      <c r="AC64">
        <f t="shared" si="1"/>
        <v>23</v>
      </c>
      <c r="AD64">
        <f t="shared" si="1"/>
        <v>14</v>
      </c>
      <c r="AE64">
        <f t="shared" si="1"/>
        <v>29</v>
      </c>
      <c r="AF64">
        <f t="shared" si="1"/>
        <v>29</v>
      </c>
    </row>
    <row r="65" spans="1:32" x14ac:dyDescent="0.2">
      <c r="A65" s="4" t="s">
        <v>52</v>
      </c>
      <c r="B65" s="5">
        <f>AVERAGE(B16:B22,B4)</f>
        <v>3.75</v>
      </c>
      <c r="C65" s="5">
        <f t="shared" ref="C65:G65" si="2">AVERAGE(C16:C22,C4)</f>
        <v>4.25</v>
      </c>
      <c r="D65" s="5">
        <f t="shared" si="2"/>
        <v>3.5</v>
      </c>
      <c r="E65" s="5">
        <f t="shared" si="2"/>
        <v>3.25</v>
      </c>
      <c r="F65" s="5">
        <f>AVERAGE(F16:F22,F4)</f>
        <v>4.25</v>
      </c>
      <c r="G65" s="5">
        <f t="shared" si="2"/>
        <v>3.875</v>
      </c>
      <c r="I65">
        <v>1</v>
      </c>
      <c r="J65" t="s">
        <v>54</v>
      </c>
      <c r="K65">
        <f>COUNTIF(K$4:K$60,$I65)</f>
        <v>4</v>
      </c>
      <c r="L65">
        <f t="shared" ref="L65:P65" si="3">COUNTIF(L$4:L$60,$I65)</f>
        <v>2</v>
      </c>
      <c r="M65">
        <f t="shared" si="3"/>
        <v>7</v>
      </c>
      <c r="N65">
        <f t="shared" si="3"/>
        <v>16</v>
      </c>
      <c r="O65">
        <f t="shared" si="3"/>
        <v>1</v>
      </c>
      <c r="P65">
        <f t="shared" si="3"/>
        <v>4</v>
      </c>
      <c r="Y65" s="8">
        <v>5</v>
      </c>
      <c r="Z65" t="s">
        <v>45</v>
      </c>
      <c r="AA65">
        <f>COUNTIF(AA$3:AA$59,$Y65)</f>
        <v>13</v>
      </c>
      <c r="AB65">
        <f>COUNTIF(AB$3:AB$59,$Y65)</f>
        <v>15</v>
      </c>
      <c r="AC65">
        <f t="shared" si="1"/>
        <v>11</v>
      </c>
      <c r="AD65">
        <f t="shared" si="1"/>
        <v>5</v>
      </c>
      <c r="AE65">
        <f t="shared" si="1"/>
        <v>13</v>
      </c>
      <c r="AF65">
        <f t="shared" si="1"/>
        <v>7</v>
      </c>
    </row>
    <row r="66" spans="1:32" x14ac:dyDescent="0.2">
      <c r="I66">
        <v>2</v>
      </c>
      <c r="J66" t="s">
        <v>55</v>
      </c>
      <c r="K66">
        <f t="shared" ref="K66:P67" si="4">COUNTIF(K$4:K$60,$I66)</f>
        <v>18</v>
      </c>
      <c r="L66">
        <f t="shared" si="4"/>
        <v>14</v>
      </c>
      <c r="M66">
        <f t="shared" si="4"/>
        <v>15</v>
      </c>
      <c r="N66">
        <f t="shared" si="4"/>
        <v>22</v>
      </c>
      <c r="O66">
        <f t="shared" si="4"/>
        <v>13</v>
      </c>
      <c r="P66">
        <f t="shared" si="4"/>
        <v>16</v>
      </c>
      <c r="Y66" s="8"/>
      <c r="Z66" s="9" t="s">
        <v>57</v>
      </c>
      <c r="AA66" s="9">
        <f>SUM(AA64:AA65)</f>
        <v>34</v>
      </c>
      <c r="AB66" s="9">
        <f>SUM(AB64:AB65)</f>
        <v>41</v>
      </c>
      <c r="AC66" s="9">
        <f t="shared" ref="AC66:AF66" si="5">SUM(AC64:AC65)</f>
        <v>34</v>
      </c>
      <c r="AD66" s="9">
        <f t="shared" si="5"/>
        <v>19</v>
      </c>
      <c r="AE66" s="9">
        <f t="shared" si="5"/>
        <v>42</v>
      </c>
      <c r="AF66" s="9">
        <f t="shared" si="5"/>
        <v>36</v>
      </c>
    </row>
    <row r="67" spans="1:32" x14ac:dyDescent="0.2">
      <c r="B67" t="s">
        <v>4</v>
      </c>
      <c r="C67" t="s">
        <v>12</v>
      </c>
      <c r="D67" t="s">
        <v>13</v>
      </c>
      <c r="E67" t="s">
        <v>18</v>
      </c>
      <c r="F67" t="s">
        <v>23</v>
      </c>
      <c r="G67" t="s">
        <v>25</v>
      </c>
      <c r="I67">
        <v>3</v>
      </c>
      <c r="J67" t="s">
        <v>56</v>
      </c>
      <c r="K67">
        <f t="shared" si="4"/>
        <v>35</v>
      </c>
      <c r="L67">
        <f t="shared" si="4"/>
        <v>41</v>
      </c>
      <c r="M67">
        <f t="shared" si="4"/>
        <v>35</v>
      </c>
      <c r="N67">
        <f t="shared" si="4"/>
        <v>19</v>
      </c>
      <c r="O67">
        <f t="shared" si="4"/>
        <v>43</v>
      </c>
      <c r="P67">
        <f t="shared" si="4"/>
        <v>37</v>
      </c>
      <c r="Z67" s="10" t="s">
        <v>58</v>
      </c>
      <c r="AA67" s="11">
        <f>AA66/57</f>
        <v>0.59649122807017541</v>
      </c>
      <c r="AB67" s="11">
        <f>AB66/57</f>
        <v>0.7192982456140351</v>
      </c>
      <c r="AC67" s="11">
        <f t="shared" ref="AC67:AF67" si="6">AC66/57</f>
        <v>0.59649122807017541</v>
      </c>
      <c r="AD67" s="11">
        <f t="shared" si="6"/>
        <v>0.33333333333333331</v>
      </c>
      <c r="AE67" s="11">
        <f t="shared" si="6"/>
        <v>0.73684210526315785</v>
      </c>
      <c r="AF67" s="11">
        <f t="shared" si="6"/>
        <v>0.63157894736842102</v>
      </c>
    </row>
    <row r="68" spans="1:32" x14ac:dyDescent="0.2">
      <c r="A68" s="4" t="s">
        <v>32</v>
      </c>
      <c r="B68" s="5">
        <f>AVERAGE(B5:B15)</f>
        <v>3.6363636363636362</v>
      </c>
      <c r="C68" s="5">
        <f t="shared" ref="C68:G68" si="7">AVERAGE(C5:C15)</f>
        <v>3.8181818181818183</v>
      </c>
      <c r="D68" s="5">
        <f t="shared" si="7"/>
        <v>3.6363636363636362</v>
      </c>
      <c r="E68" s="5">
        <f t="shared" si="7"/>
        <v>2.9090909090909092</v>
      </c>
      <c r="F68" s="5">
        <f t="shared" si="7"/>
        <v>4</v>
      </c>
      <c r="G68" s="5">
        <f t="shared" si="7"/>
        <v>3.7272727272727271</v>
      </c>
      <c r="K68" s="2" t="s">
        <v>4</v>
      </c>
      <c r="L68" s="2" t="s">
        <v>12</v>
      </c>
      <c r="M68" s="2" t="s">
        <v>13</v>
      </c>
      <c r="N68" s="2" t="s">
        <v>18</v>
      </c>
      <c r="O68" s="2" t="s">
        <v>23</v>
      </c>
      <c r="P68" s="2" t="s">
        <v>25</v>
      </c>
    </row>
    <row r="69" spans="1:32" x14ac:dyDescent="0.2">
      <c r="J69" s="3" t="s">
        <v>54</v>
      </c>
      <c r="K69" s="30">
        <f>K65/57</f>
        <v>7.0175438596491224E-2</v>
      </c>
      <c r="L69" s="30">
        <f t="shared" ref="L69:P69" si="8">L65/57</f>
        <v>3.5087719298245612E-2</v>
      </c>
      <c r="M69" s="30">
        <f t="shared" si="8"/>
        <v>0.12280701754385964</v>
      </c>
      <c r="N69" s="30">
        <f t="shared" si="8"/>
        <v>0.2807017543859649</v>
      </c>
      <c r="O69" s="30">
        <f t="shared" si="8"/>
        <v>1.7543859649122806E-2</v>
      </c>
      <c r="P69" s="30">
        <f t="shared" si="8"/>
        <v>7.0175438596491224E-2</v>
      </c>
      <c r="Q69" s="31"/>
    </row>
    <row r="70" spans="1:32" x14ac:dyDescent="0.2">
      <c r="B70" t="s">
        <v>4</v>
      </c>
      <c r="C70" t="s">
        <v>12</v>
      </c>
      <c r="D70" t="s">
        <v>13</v>
      </c>
      <c r="E70" t="s">
        <v>18</v>
      </c>
      <c r="F70" t="s">
        <v>23</v>
      </c>
      <c r="G70" t="s">
        <v>25</v>
      </c>
      <c r="J70" s="3" t="s">
        <v>55</v>
      </c>
      <c r="K70" s="30">
        <f t="shared" ref="K70:P71" si="9">K66/57</f>
        <v>0.31578947368421051</v>
      </c>
      <c r="L70" s="30">
        <f t="shared" si="9"/>
        <v>0.24561403508771928</v>
      </c>
      <c r="M70" s="30">
        <f t="shared" si="9"/>
        <v>0.26315789473684209</v>
      </c>
      <c r="N70" s="30">
        <f t="shared" si="9"/>
        <v>0.38596491228070173</v>
      </c>
      <c r="O70" s="30">
        <f t="shared" si="9"/>
        <v>0.22807017543859648</v>
      </c>
      <c r="P70" s="30">
        <f t="shared" si="9"/>
        <v>0.2807017543859649</v>
      </c>
      <c r="Q70" s="31"/>
      <c r="Y70" s="8"/>
      <c r="Z70" t="s">
        <v>33</v>
      </c>
      <c r="AA70" s="2" t="s">
        <v>37</v>
      </c>
      <c r="AB70" s="2" t="s">
        <v>37</v>
      </c>
      <c r="AC70" s="2" t="s">
        <v>37</v>
      </c>
      <c r="AD70" s="2" t="s">
        <v>37</v>
      </c>
      <c r="AE70" s="2" t="s">
        <v>37</v>
      </c>
      <c r="AF70" s="2" t="s">
        <v>37</v>
      </c>
    </row>
    <row r="71" spans="1:32" x14ac:dyDescent="0.2">
      <c r="A71" s="4" t="s">
        <v>31</v>
      </c>
      <c r="B71" s="5">
        <f>AVERAGE(B23:B60)</f>
        <v>3.8157894736842106</v>
      </c>
      <c r="C71" s="5">
        <f t="shared" ref="C71:G71" si="10">AVERAGE(C23:C60)</f>
        <v>3.9210526315789473</v>
      </c>
      <c r="D71" s="5">
        <f t="shared" si="10"/>
        <v>3.7105263157894739</v>
      </c>
      <c r="E71" s="5">
        <f t="shared" si="10"/>
        <v>3.0789473684210527</v>
      </c>
      <c r="F71" s="5">
        <f t="shared" si="10"/>
        <v>3.8947368421052633</v>
      </c>
      <c r="G71" s="5">
        <f t="shared" si="10"/>
        <v>3.6578947368421053</v>
      </c>
      <c r="J71" s="3" t="s">
        <v>56</v>
      </c>
      <c r="K71" s="30">
        <f t="shared" si="9"/>
        <v>0.61403508771929827</v>
      </c>
      <c r="L71" s="30">
        <f t="shared" si="9"/>
        <v>0.7192982456140351</v>
      </c>
      <c r="M71" s="30">
        <f t="shared" si="9"/>
        <v>0.61403508771929827</v>
      </c>
      <c r="N71" s="30">
        <f t="shared" si="9"/>
        <v>0.33333333333333331</v>
      </c>
      <c r="O71" s="30">
        <f t="shared" si="9"/>
        <v>0.75438596491228072</v>
      </c>
      <c r="P71" s="30">
        <f t="shared" si="9"/>
        <v>0.64912280701754388</v>
      </c>
      <c r="AA71" t="s">
        <v>4</v>
      </c>
      <c r="AB71" t="s">
        <v>12</v>
      </c>
      <c r="AC71" t="s">
        <v>13</v>
      </c>
      <c r="AD71" t="s">
        <v>18</v>
      </c>
      <c r="AE71" t="s">
        <v>23</v>
      </c>
      <c r="AF71" t="s">
        <v>25</v>
      </c>
    </row>
    <row r="72" spans="1:32" x14ac:dyDescent="0.2">
      <c r="Y72" s="8">
        <v>4</v>
      </c>
      <c r="Z72" t="s">
        <v>44</v>
      </c>
      <c r="AA72">
        <f>COUNTIFS(AA$4:AA$60,$Y72,$Z4:$Z60,$Z$70)</f>
        <v>3</v>
      </c>
      <c r="AB72">
        <f t="shared" ref="AB72:AF72" si="11">COUNTIFS(AB$4:AB$60,$Y72,$Z4:$Z60,$Z$70)</f>
        <v>6</v>
      </c>
      <c r="AC72">
        <f t="shared" si="11"/>
        <v>3</v>
      </c>
      <c r="AD72">
        <f t="shared" si="11"/>
        <v>4</v>
      </c>
      <c r="AE72">
        <f t="shared" si="11"/>
        <v>6</v>
      </c>
      <c r="AF72">
        <f t="shared" si="11"/>
        <v>6</v>
      </c>
    </row>
    <row r="73" spans="1:32" x14ac:dyDescent="0.2">
      <c r="I73" s="2" t="s">
        <v>33</v>
      </c>
      <c r="Y73" s="8">
        <v>5</v>
      </c>
      <c r="Z73" t="s">
        <v>45</v>
      </c>
      <c r="AA73">
        <f>COUNTIFS(AA$4:AA$60,$Y73,$Z5:$Z61,$Z$70)</f>
        <v>2</v>
      </c>
      <c r="AB73">
        <f t="shared" ref="AB73:AF73" si="12">COUNTIFS(AB$4:AB$60,$Y73,$Z5:$Z61,$Z$70)</f>
        <v>2</v>
      </c>
      <c r="AC73">
        <f t="shared" si="12"/>
        <v>1</v>
      </c>
      <c r="AD73">
        <f t="shared" si="12"/>
        <v>0</v>
      </c>
      <c r="AE73">
        <f t="shared" si="12"/>
        <v>2</v>
      </c>
      <c r="AF73">
        <f t="shared" si="12"/>
        <v>1</v>
      </c>
    </row>
    <row r="74" spans="1:32" x14ac:dyDescent="0.2">
      <c r="I74">
        <v>1</v>
      </c>
      <c r="J74" t="s">
        <v>54</v>
      </c>
      <c r="K74">
        <f>COUNTIFS(K$4:K$60,$I74,$J$4:$J$60,$I$73)</f>
        <v>1</v>
      </c>
      <c r="L74">
        <f t="shared" ref="L74:P74" si="13">COUNTIFS(L$4:L$60,$I74,$J$4:$J$60,$I$73)</f>
        <v>0</v>
      </c>
      <c r="M74">
        <f t="shared" si="13"/>
        <v>1</v>
      </c>
      <c r="N74">
        <f t="shared" si="13"/>
        <v>2</v>
      </c>
      <c r="O74">
        <f t="shared" si="13"/>
        <v>0</v>
      </c>
      <c r="P74">
        <f t="shared" si="13"/>
        <v>1</v>
      </c>
      <c r="Y74" s="8"/>
      <c r="Z74" s="9" t="s">
        <v>57</v>
      </c>
      <c r="AA74" s="9">
        <f>SUM(AA72:AA73)</f>
        <v>5</v>
      </c>
      <c r="AB74" s="9">
        <f t="shared" ref="AB74:AF74" si="14">SUM(AB72:AB73)</f>
        <v>8</v>
      </c>
      <c r="AC74" s="9">
        <f t="shared" si="14"/>
        <v>4</v>
      </c>
      <c r="AD74" s="9">
        <f t="shared" si="14"/>
        <v>4</v>
      </c>
      <c r="AE74" s="9">
        <f t="shared" si="14"/>
        <v>8</v>
      </c>
      <c r="AF74" s="9">
        <f t="shared" si="14"/>
        <v>7</v>
      </c>
    </row>
    <row r="75" spans="1:32" x14ac:dyDescent="0.2">
      <c r="A75" t="s">
        <v>52</v>
      </c>
      <c r="I75">
        <v>2</v>
      </c>
      <c r="J75" t="s">
        <v>55</v>
      </c>
      <c r="K75">
        <f t="shared" ref="K75:P76" si="15">COUNTIFS(K$4:K$60,$I75,$J$4:$J$60,$I$73)</f>
        <v>2</v>
      </c>
      <c r="L75">
        <f t="shared" si="15"/>
        <v>0</v>
      </c>
      <c r="M75">
        <f t="shared" si="15"/>
        <v>3</v>
      </c>
      <c r="N75">
        <f t="shared" si="15"/>
        <v>2</v>
      </c>
      <c r="O75">
        <f t="shared" si="15"/>
        <v>0</v>
      </c>
      <c r="P75">
        <f t="shared" si="15"/>
        <v>0</v>
      </c>
      <c r="Y75" s="8"/>
      <c r="Z75" s="10" t="s">
        <v>59</v>
      </c>
      <c r="AA75" s="11">
        <f>AA74/8</f>
        <v>0.625</v>
      </c>
      <c r="AB75" s="11">
        <f t="shared" ref="AB75:AF75" si="16">AB74/8</f>
        <v>1</v>
      </c>
      <c r="AC75" s="11">
        <f t="shared" si="16"/>
        <v>0.5</v>
      </c>
      <c r="AD75" s="11">
        <f t="shared" si="16"/>
        <v>0.5</v>
      </c>
      <c r="AE75" s="11">
        <f t="shared" si="16"/>
        <v>1</v>
      </c>
      <c r="AF75" s="11">
        <f t="shared" si="16"/>
        <v>0.875</v>
      </c>
    </row>
    <row r="76" spans="1:32" x14ac:dyDescent="0.2">
      <c r="I76">
        <v>3</v>
      </c>
      <c r="J76" t="s">
        <v>56</v>
      </c>
      <c r="K76">
        <f t="shared" si="15"/>
        <v>5</v>
      </c>
      <c r="L76">
        <f t="shared" si="15"/>
        <v>8</v>
      </c>
      <c r="M76">
        <f>COUNTIFS(M$4:M$60,$I76,$J$4:$J$60,$I$73)</f>
        <v>4</v>
      </c>
      <c r="N76">
        <f t="shared" si="15"/>
        <v>4</v>
      </c>
      <c r="O76">
        <f t="shared" si="15"/>
        <v>8</v>
      </c>
      <c r="P76">
        <f t="shared" si="15"/>
        <v>7</v>
      </c>
      <c r="Y76" s="8"/>
    </row>
    <row r="77" spans="1:32" x14ac:dyDescent="0.2">
      <c r="K77" s="2" t="s">
        <v>4</v>
      </c>
      <c r="L77" s="2" t="s">
        <v>12</v>
      </c>
      <c r="M77" s="2" t="s">
        <v>13</v>
      </c>
      <c r="N77" s="2" t="s">
        <v>18</v>
      </c>
      <c r="O77" s="2" t="s">
        <v>23</v>
      </c>
      <c r="P77" s="2" t="s">
        <v>25</v>
      </c>
      <c r="Y77" s="8"/>
      <c r="Z77" s="2" t="s">
        <v>32</v>
      </c>
      <c r="AA77" s="2" t="s">
        <v>37</v>
      </c>
      <c r="AB77" s="2" t="s">
        <v>37</v>
      </c>
      <c r="AC77" s="2" t="s">
        <v>37</v>
      </c>
      <c r="AD77" s="2" t="s">
        <v>37</v>
      </c>
      <c r="AE77" s="2" t="s">
        <v>37</v>
      </c>
      <c r="AF77" s="2" t="s">
        <v>37</v>
      </c>
    </row>
    <row r="78" spans="1:32" x14ac:dyDescent="0.2">
      <c r="J78" s="3" t="s">
        <v>54</v>
      </c>
      <c r="K78" s="33">
        <f>K74/8</f>
        <v>0.125</v>
      </c>
      <c r="L78" s="33">
        <f t="shared" ref="L78:P78" si="17">L74/8</f>
        <v>0</v>
      </c>
      <c r="M78" s="33">
        <f t="shared" si="17"/>
        <v>0.125</v>
      </c>
      <c r="N78" s="33">
        <f t="shared" si="17"/>
        <v>0.25</v>
      </c>
      <c r="O78" s="33">
        <f t="shared" si="17"/>
        <v>0</v>
      </c>
      <c r="P78" s="33">
        <f t="shared" si="17"/>
        <v>0.125</v>
      </c>
      <c r="Y78" s="8"/>
      <c r="AA78" t="s">
        <v>4</v>
      </c>
      <c r="AB78" t="s">
        <v>12</v>
      </c>
      <c r="AC78" t="s">
        <v>13</v>
      </c>
      <c r="AD78" t="s">
        <v>18</v>
      </c>
      <c r="AE78" t="s">
        <v>23</v>
      </c>
      <c r="AF78" t="s">
        <v>25</v>
      </c>
    </row>
    <row r="79" spans="1:32" x14ac:dyDescent="0.2">
      <c r="J79" s="3" t="s">
        <v>55</v>
      </c>
      <c r="K79" s="33">
        <f t="shared" ref="K79:P80" si="18">K75/8</f>
        <v>0.25</v>
      </c>
      <c r="L79" s="33">
        <f t="shared" si="18"/>
        <v>0</v>
      </c>
      <c r="M79" s="33">
        <f t="shared" si="18"/>
        <v>0.375</v>
      </c>
      <c r="N79" s="33">
        <f t="shared" si="18"/>
        <v>0.25</v>
      </c>
      <c r="O79" s="33">
        <f t="shared" si="18"/>
        <v>0</v>
      </c>
      <c r="P79" s="33">
        <f t="shared" si="18"/>
        <v>0</v>
      </c>
      <c r="Y79" s="8">
        <v>4</v>
      </c>
      <c r="Z79" t="s">
        <v>44</v>
      </c>
      <c r="AA79">
        <f>COUNTIFS(AA$4:AA$60,$Y79,$Z4:$Z60,$Z$77)</f>
        <v>7</v>
      </c>
      <c r="AB79">
        <f t="shared" ref="AB79:AF79" si="19">COUNTIFS(AB$4:AB$60,$Y79,$Z4:$Z60,$Z$77)</f>
        <v>5</v>
      </c>
      <c r="AC79">
        <f t="shared" si="19"/>
        <v>7</v>
      </c>
      <c r="AD79">
        <f t="shared" si="19"/>
        <v>2</v>
      </c>
      <c r="AE79">
        <f t="shared" si="19"/>
        <v>7</v>
      </c>
      <c r="AF79">
        <f t="shared" si="19"/>
        <v>8</v>
      </c>
    </row>
    <row r="80" spans="1:32" x14ac:dyDescent="0.2">
      <c r="J80" s="3" t="s">
        <v>56</v>
      </c>
      <c r="K80" s="33">
        <f t="shared" si="18"/>
        <v>0.625</v>
      </c>
      <c r="L80" s="33">
        <f t="shared" si="18"/>
        <v>1</v>
      </c>
      <c r="M80" s="33">
        <f t="shared" si="18"/>
        <v>0.5</v>
      </c>
      <c r="N80" s="33">
        <f t="shared" si="18"/>
        <v>0.5</v>
      </c>
      <c r="O80" s="33">
        <f t="shared" si="18"/>
        <v>1</v>
      </c>
      <c r="P80" s="33">
        <f t="shared" si="18"/>
        <v>0.875</v>
      </c>
      <c r="Y80" s="8">
        <v>5</v>
      </c>
      <c r="Z80" t="s">
        <v>45</v>
      </c>
      <c r="AA80">
        <f>COUNTIFS(AA$4:AA$60,$Y80,$Z5:$Z61,$Z$77)</f>
        <v>0</v>
      </c>
      <c r="AB80">
        <f t="shared" ref="AB80:AF80" si="20">COUNTIFS(AB$4:AB$60,$Y80,$Z5:$Z61,$Z$77)</f>
        <v>2</v>
      </c>
      <c r="AC80">
        <f t="shared" si="20"/>
        <v>1</v>
      </c>
      <c r="AD80">
        <f t="shared" si="20"/>
        <v>1</v>
      </c>
      <c r="AE80">
        <f t="shared" si="20"/>
        <v>2</v>
      </c>
      <c r="AF80">
        <f t="shared" si="20"/>
        <v>0</v>
      </c>
    </row>
    <row r="81" spans="1:32" x14ac:dyDescent="0.2">
      <c r="K81" s="25">
        <f>ROUND(K78,2)</f>
        <v>0.13</v>
      </c>
      <c r="L81" s="25">
        <f t="shared" ref="L81:P81" si="21">ROUND(L78,2)</f>
        <v>0</v>
      </c>
      <c r="M81" s="25">
        <f t="shared" si="21"/>
        <v>0.13</v>
      </c>
      <c r="N81" s="25">
        <f t="shared" si="21"/>
        <v>0.25</v>
      </c>
      <c r="O81" s="25">
        <f t="shared" si="21"/>
        <v>0</v>
      </c>
      <c r="P81" s="25">
        <f t="shared" si="21"/>
        <v>0.13</v>
      </c>
      <c r="Y81" s="8"/>
      <c r="Z81" s="9" t="s">
        <v>57</v>
      </c>
      <c r="AA81" s="9">
        <f>SUM(AA79:AA80)</f>
        <v>7</v>
      </c>
      <c r="AB81" s="9">
        <f t="shared" ref="AB81:AF81" si="22">SUM(AB79:AB80)</f>
        <v>7</v>
      </c>
      <c r="AC81" s="9">
        <f t="shared" si="22"/>
        <v>8</v>
      </c>
      <c r="AD81" s="9">
        <f t="shared" si="22"/>
        <v>3</v>
      </c>
      <c r="AE81" s="9">
        <f t="shared" si="22"/>
        <v>9</v>
      </c>
      <c r="AF81" s="9">
        <f t="shared" si="22"/>
        <v>8</v>
      </c>
    </row>
    <row r="82" spans="1:32" x14ac:dyDescent="0.2">
      <c r="K82" s="25">
        <f t="shared" ref="K82:P83" si="23">ROUND(K79,2)</f>
        <v>0.25</v>
      </c>
      <c r="L82" s="25">
        <f t="shared" si="23"/>
        <v>0</v>
      </c>
      <c r="M82" s="25">
        <f t="shared" si="23"/>
        <v>0.38</v>
      </c>
      <c r="N82" s="25">
        <f t="shared" si="23"/>
        <v>0.25</v>
      </c>
      <c r="O82" s="25">
        <f t="shared" si="23"/>
        <v>0</v>
      </c>
      <c r="P82" s="25">
        <f t="shared" si="23"/>
        <v>0</v>
      </c>
      <c r="Y82" s="8"/>
      <c r="Z82" s="10" t="s">
        <v>60</v>
      </c>
      <c r="AA82" s="11">
        <f>AA81/11</f>
        <v>0.63636363636363635</v>
      </c>
      <c r="AB82" s="11">
        <f t="shared" ref="AB82:AF82" si="24">AB81/11</f>
        <v>0.63636363636363635</v>
      </c>
      <c r="AC82" s="11">
        <f t="shared" si="24"/>
        <v>0.72727272727272729</v>
      </c>
      <c r="AD82" s="11">
        <f t="shared" si="24"/>
        <v>0.27272727272727271</v>
      </c>
      <c r="AE82" s="11">
        <f t="shared" si="24"/>
        <v>0.81818181818181823</v>
      </c>
      <c r="AF82" s="11">
        <f t="shared" si="24"/>
        <v>0.72727272727272729</v>
      </c>
    </row>
    <row r="83" spans="1:32" x14ac:dyDescent="0.2">
      <c r="K83" s="25">
        <f t="shared" si="23"/>
        <v>0.63</v>
      </c>
      <c r="L83" s="25">
        <f t="shared" si="23"/>
        <v>1</v>
      </c>
      <c r="M83" s="25">
        <f t="shared" si="23"/>
        <v>0.5</v>
      </c>
      <c r="N83" s="25">
        <f t="shared" si="23"/>
        <v>0.5</v>
      </c>
      <c r="O83" s="25">
        <f t="shared" si="23"/>
        <v>1</v>
      </c>
      <c r="P83" s="25">
        <f t="shared" si="23"/>
        <v>0.88</v>
      </c>
      <c r="Y83" s="8"/>
    </row>
    <row r="84" spans="1:32" x14ac:dyDescent="0.2">
      <c r="Y84" s="8"/>
      <c r="Z84" s="2" t="s">
        <v>31</v>
      </c>
      <c r="AA84" s="2" t="s">
        <v>37</v>
      </c>
      <c r="AB84" s="2" t="s">
        <v>37</v>
      </c>
      <c r="AC84" s="2" t="s">
        <v>37</v>
      </c>
      <c r="AD84" s="2" t="s">
        <v>37</v>
      </c>
      <c r="AE84" s="2" t="s">
        <v>37</v>
      </c>
      <c r="AF84" s="2" t="s">
        <v>37</v>
      </c>
    </row>
    <row r="85" spans="1:32" x14ac:dyDescent="0.2">
      <c r="I85" s="2" t="s">
        <v>32</v>
      </c>
      <c r="Y85" s="8"/>
      <c r="AA85" t="s">
        <v>4</v>
      </c>
      <c r="AB85" t="s">
        <v>12</v>
      </c>
      <c r="AC85" t="s">
        <v>13</v>
      </c>
      <c r="AD85" t="s">
        <v>18</v>
      </c>
      <c r="AE85" t="s">
        <v>23</v>
      </c>
      <c r="AF85" t="s">
        <v>25</v>
      </c>
    </row>
    <row r="86" spans="1:32" x14ac:dyDescent="0.2">
      <c r="I86">
        <v>1</v>
      </c>
      <c r="J86" t="s">
        <v>54</v>
      </c>
      <c r="K86">
        <f t="shared" ref="K86:P88" si="25">COUNTIFS(K$4:K$60,$I86,$J$4:$J$60,$I$85)</f>
        <v>0</v>
      </c>
      <c r="L86">
        <f t="shared" si="25"/>
        <v>0</v>
      </c>
      <c r="M86">
        <f t="shared" si="25"/>
        <v>2</v>
      </c>
      <c r="N86">
        <f t="shared" si="25"/>
        <v>4</v>
      </c>
      <c r="O86">
        <f t="shared" si="25"/>
        <v>0</v>
      </c>
      <c r="P86">
        <f t="shared" si="25"/>
        <v>0</v>
      </c>
      <c r="Y86" s="8">
        <v>4</v>
      </c>
      <c r="Z86" t="s">
        <v>44</v>
      </c>
      <c r="AA86">
        <f>COUNTIFS(AA$4:AA$60,$Y86,$Z4:$Z60,$Z$84)</f>
        <v>12</v>
      </c>
      <c r="AB86">
        <f t="shared" ref="AB86:AF86" si="26">COUNTIFS(AB$4:AB$60,$Y86,$Z4:$Z60,$Z$84)</f>
        <v>15</v>
      </c>
      <c r="AC86">
        <f t="shared" si="26"/>
        <v>14</v>
      </c>
      <c r="AD86">
        <f t="shared" si="26"/>
        <v>8</v>
      </c>
      <c r="AE86">
        <f t="shared" si="26"/>
        <v>17</v>
      </c>
      <c r="AF86">
        <f t="shared" si="26"/>
        <v>15</v>
      </c>
    </row>
    <row r="87" spans="1:32" x14ac:dyDescent="0.2">
      <c r="I87">
        <v>2</v>
      </c>
      <c r="J87" t="s">
        <v>55</v>
      </c>
      <c r="K87">
        <f t="shared" si="25"/>
        <v>4</v>
      </c>
      <c r="L87">
        <f t="shared" si="25"/>
        <v>4</v>
      </c>
      <c r="M87">
        <f t="shared" si="25"/>
        <v>1</v>
      </c>
      <c r="N87">
        <f t="shared" si="25"/>
        <v>4</v>
      </c>
      <c r="O87">
        <f t="shared" si="25"/>
        <v>2</v>
      </c>
      <c r="P87">
        <f t="shared" si="25"/>
        <v>3</v>
      </c>
      <c r="Y87" s="8">
        <v>5</v>
      </c>
      <c r="Z87" t="s">
        <v>45</v>
      </c>
      <c r="AA87">
        <f t="shared" ref="AA87:AF87" si="27">COUNTIFS(AA$4:AA$60,$Y87,$Z4:$Z60,$Z$84)</f>
        <v>11</v>
      </c>
      <c r="AB87">
        <f t="shared" si="27"/>
        <v>11</v>
      </c>
      <c r="AC87">
        <f t="shared" si="27"/>
        <v>9</v>
      </c>
      <c r="AD87">
        <f t="shared" si="27"/>
        <v>4</v>
      </c>
      <c r="AE87">
        <f t="shared" si="27"/>
        <v>9</v>
      </c>
      <c r="AF87">
        <f t="shared" si="27"/>
        <v>7</v>
      </c>
    </row>
    <row r="88" spans="1:32" x14ac:dyDescent="0.2">
      <c r="I88">
        <v>3</v>
      </c>
      <c r="J88" t="s">
        <v>56</v>
      </c>
      <c r="K88">
        <f t="shared" si="25"/>
        <v>7</v>
      </c>
      <c r="L88">
        <f t="shared" si="25"/>
        <v>7</v>
      </c>
      <c r="M88">
        <f t="shared" si="25"/>
        <v>8</v>
      </c>
      <c r="N88">
        <f t="shared" si="25"/>
        <v>3</v>
      </c>
      <c r="O88">
        <f t="shared" si="25"/>
        <v>9</v>
      </c>
      <c r="P88">
        <f t="shared" si="25"/>
        <v>8</v>
      </c>
      <c r="Z88" s="9" t="s">
        <v>57</v>
      </c>
      <c r="AA88" s="9">
        <f t="shared" ref="AA88:AF88" si="28">SUM(AA86:AA87)</f>
        <v>23</v>
      </c>
      <c r="AB88" s="9">
        <f t="shared" si="28"/>
        <v>26</v>
      </c>
      <c r="AC88" s="9">
        <f t="shared" si="28"/>
        <v>23</v>
      </c>
      <c r="AD88" s="9">
        <f t="shared" si="28"/>
        <v>12</v>
      </c>
      <c r="AE88" s="9">
        <f t="shared" si="28"/>
        <v>26</v>
      </c>
      <c r="AF88" s="9">
        <f t="shared" si="28"/>
        <v>22</v>
      </c>
    </row>
    <row r="89" spans="1:32" x14ac:dyDescent="0.2">
      <c r="A89" t="s">
        <v>32</v>
      </c>
      <c r="K89" s="2" t="s">
        <v>4</v>
      </c>
      <c r="L89" s="2" t="s">
        <v>12</v>
      </c>
      <c r="M89" s="2" t="s">
        <v>13</v>
      </c>
      <c r="N89" s="2" t="s">
        <v>18</v>
      </c>
      <c r="O89" s="2" t="s">
        <v>23</v>
      </c>
      <c r="P89" s="2" t="s">
        <v>25</v>
      </c>
      <c r="Z89" s="10" t="s">
        <v>61</v>
      </c>
      <c r="AA89" s="11">
        <f>AA88/38</f>
        <v>0.60526315789473684</v>
      </c>
      <c r="AB89" s="11">
        <f t="shared" ref="AB89:AF89" si="29">AB88/38</f>
        <v>0.68421052631578949</v>
      </c>
      <c r="AC89" s="11">
        <f t="shared" si="29"/>
        <v>0.60526315789473684</v>
      </c>
      <c r="AD89" s="11">
        <f t="shared" si="29"/>
        <v>0.31578947368421051</v>
      </c>
      <c r="AE89" s="11">
        <f t="shared" si="29"/>
        <v>0.68421052631578949</v>
      </c>
      <c r="AF89" s="11">
        <f t="shared" si="29"/>
        <v>0.57894736842105265</v>
      </c>
    </row>
    <row r="90" spans="1:32" x14ac:dyDescent="0.2">
      <c r="J90" t="s">
        <v>54</v>
      </c>
      <c r="K90" s="32">
        <f>K86/11</f>
        <v>0</v>
      </c>
      <c r="L90" s="32">
        <f t="shared" ref="L90:N90" si="30">L86/11</f>
        <v>0</v>
      </c>
      <c r="M90" s="32">
        <f t="shared" si="30"/>
        <v>0.18181818181818182</v>
      </c>
      <c r="N90" s="32">
        <f t="shared" si="30"/>
        <v>0.36363636363636365</v>
      </c>
      <c r="O90" s="32">
        <f t="shared" ref="O90:P92" si="31">O86/11</f>
        <v>0</v>
      </c>
      <c r="P90" s="32">
        <f t="shared" si="31"/>
        <v>0</v>
      </c>
    </row>
    <row r="91" spans="1:32" x14ac:dyDescent="0.2">
      <c r="J91" t="s">
        <v>55</v>
      </c>
      <c r="K91" s="32">
        <f t="shared" ref="K91:N92" si="32">K87/11</f>
        <v>0.36363636363636365</v>
      </c>
      <c r="L91" s="32">
        <f t="shared" si="32"/>
        <v>0.36363636363636365</v>
      </c>
      <c r="M91" s="32">
        <f t="shared" si="32"/>
        <v>9.0909090909090912E-2</v>
      </c>
      <c r="N91" s="32">
        <f t="shared" si="32"/>
        <v>0.36363636363636365</v>
      </c>
      <c r="O91" s="32">
        <f t="shared" si="31"/>
        <v>0.18181818181818182</v>
      </c>
      <c r="P91" s="32">
        <f t="shared" si="31"/>
        <v>0.27272727272727271</v>
      </c>
    </row>
    <row r="92" spans="1:32" x14ac:dyDescent="0.2">
      <c r="J92" t="s">
        <v>56</v>
      </c>
      <c r="K92" s="32">
        <f t="shared" si="32"/>
        <v>0.63636363636363635</v>
      </c>
      <c r="L92" s="32">
        <f t="shared" si="32"/>
        <v>0.63636363636363635</v>
      </c>
      <c r="M92" s="32">
        <f t="shared" si="32"/>
        <v>0.72727272727272729</v>
      </c>
      <c r="N92" s="32">
        <f t="shared" si="32"/>
        <v>0.27272727272727271</v>
      </c>
      <c r="O92" s="32">
        <f t="shared" si="31"/>
        <v>0.81818181818181823</v>
      </c>
      <c r="P92" s="32">
        <f t="shared" si="31"/>
        <v>0.72727272727272729</v>
      </c>
    </row>
    <row r="93" spans="1:32" x14ac:dyDescent="0.2">
      <c r="K93" s="25">
        <f>ROUND(K90,2)</f>
        <v>0</v>
      </c>
      <c r="L93" s="25">
        <f t="shared" ref="L93:P93" si="33">ROUND(L90,2)</f>
        <v>0</v>
      </c>
      <c r="M93" s="25">
        <f t="shared" si="33"/>
        <v>0.18</v>
      </c>
      <c r="N93" s="25">
        <f t="shared" si="33"/>
        <v>0.36</v>
      </c>
      <c r="O93" s="25">
        <f t="shared" si="33"/>
        <v>0</v>
      </c>
      <c r="P93" s="25">
        <f t="shared" si="33"/>
        <v>0</v>
      </c>
    </row>
    <row r="94" spans="1:32" x14ac:dyDescent="0.2">
      <c r="K94" s="25">
        <f t="shared" ref="K94:P95" si="34">ROUND(K91,2)</f>
        <v>0.36</v>
      </c>
      <c r="L94" s="25">
        <f t="shared" si="34"/>
        <v>0.36</v>
      </c>
      <c r="M94" s="25">
        <f t="shared" si="34"/>
        <v>0.09</v>
      </c>
      <c r="N94" s="25">
        <f t="shared" si="34"/>
        <v>0.36</v>
      </c>
      <c r="O94" s="25">
        <f t="shared" si="34"/>
        <v>0.18</v>
      </c>
      <c r="P94" s="25">
        <f t="shared" si="34"/>
        <v>0.27</v>
      </c>
    </row>
    <row r="95" spans="1:32" x14ac:dyDescent="0.2">
      <c r="K95" s="25">
        <f t="shared" si="34"/>
        <v>0.64</v>
      </c>
      <c r="L95" s="25">
        <f t="shared" si="34"/>
        <v>0.64</v>
      </c>
      <c r="M95" s="25">
        <f t="shared" si="34"/>
        <v>0.73</v>
      </c>
      <c r="N95" s="25">
        <f t="shared" si="34"/>
        <v>0.27</v>
      </c>
      <c r="O95" s="25">
        <f t="shared" si="34"/>
        <v>0.82</v>
      </c>
      <c r="P95" s="25">
        <f t="shared" si="34"/>
        <v>0.73</v>
      </c>
    </row>
    <row r="98" spans="1:16" x14ac:dyDescent="0.2">
      <c r="I98" s="2" t="s">
        <v>31</v>
      </c>
    </row>
    <row r="99" spans="1:16" x14ac:dyDescent="0.2">
      <c r="I99">
        <v>1</v>
      </c>
      <c r="J99" t="s">
        <v>54</v>
      </c>
      <c r="K99">
        <f t="shared" ref="K99:P101" si="35">COUNTIFS(K$4:K$60,$I99,$J$4:$J$60,$I$98)</f>
        <v>3</v>
      </c>
      <c r="L99">
        <f t="shared" si="35"/>
        <v>2</v>
      </c>
      <c r="M99">
        <f t="shared" si="35"/>
        <v>4</v>
      </c>
      <c r="N99">
        <f t="shared" si="35"/>
        <v>10</v>
      </c>
      <c r="O99">
        <f t="shared" si="35"/>
        <v>1</v>
      </c>
      <c r="P99">
        <f t="shared" si="35"/>
        <v>3</v>
      </c>
    </row>
    <row r="100" spans="1:16" x14ac:dyDescent="0.2">
      <c r="I100">
        <v>2</v>
      </c>
      <c r="J100" t="s">
        <v>55</v>
      </c>
      <c r="K100">
        <f t="shared" si="35"/>
        <v>12</v>
      </c>
      <c r="L100">
        <f t="shared" si="35"/>
        <v>10</v>
      </c>
      <c r="M100">
        <f t="shared" si="35"/>
        <v>11</v>
      </c>
      <c r="N100">
        <f t="shared" si="35"/>
        <v>16</v>
      </c>
      <c r="O100">
        <f t="shared" si="35"/>
        <v>11</v>
      </c>
      <c r="P100">
        <f t="shared" si="35"/>
        <v>13</v>
      </c>
    </row>
    <row r="101" spans="1:16" x14ac:dyDescent="0.2">
      <c r="I101">
        <v>3</v>
      </c>
      <c r="J101" t="s">
        <v>56</v>
      </c>
      <c r="K101">
        <f t="shared" si="35"/>
        <v>23</v>
      </c>
      <c r="L101">
        <f t="shared" si="35"/>
        <v>26</v>
      </c>
      <c r="M101">
        <f t="shared" si="35"/>
        <v>23</v>
      </c>
      <c r="N101">
        <f t="shared" si="35"/>
        <v>12</v>
      </c>
      <c r="O101">
        <f t="shared" si="35"/>
        <v>26</v>
      </c>
      <c r="P101">
        <f t="shared" si="35"/>
        <v>22</v>
      </c>
    </row>
    <row r="102" spans="1:16" x14ac:dyDescent="0.2">
      <c r="K102" s="2" t="s">
        <v>4</v>
      </c>
      <c r="L102" s="2" t="s">
        <v>12</v>
      </c>
      <c r="M102" s="2" t="s">
        <v>13</v>
      </c>
      <c r="N102" s="2" t="s">
        <v>18</v>
      </c>
      <c r="O102" s="2" t="s">
        <v>23</v>
      </c>
      <c r="P102" s="2" t="s">
        <v>25</v>
      </c>
    </row>
    <row r="103" spans="1:16" x14ac:dyDescent="0.2">
      <c r="A103" t="s">
        <v>31</v>
      </c>
      <c r="J103" t="s">
        <v>54</v>
      </c>
      <c r="K103" s="33">
        <f>K99/38</f>
        <v>7.8947368421052627E-2</v>
      </c>
      <c r="L103" s="33">
        <f t="shared" ref="L103:N103" si="36">L99/38</f>
        <v>5.2631578947368418E-2</v>
      </c>
      <c r="M103" s="33">
        <f t="shared" si="36"/>
        <v>0.10526315789473684</v>
      </c>
      <c r="N103" s="33">
        <f t="shared" si="36"/>
        <v>0.26315789473684209</v>
      </c>
      <c r="O103" s="33">
        <f t="shared" ref="O103:P105" si="37">O99/38</f>
        <v>2.6315789473684209E-2</v>
      </c>
      <c r="P103" s="33">
        <f t="shared" si="37"/>
        <v>7.8947368421052627E-2</v>
      </c>
    </row>
    <row r="104" spans="1:16" x14ac:dyDescent="0.2">
      <c r="J104" t="s">
        <v>55</v>
      </c>
      <c r="K104" s="33">
        <f t="shared" ref="K104:N105" si="38">K100/38</f>
        <v>0.31578947368421051</v>
      </c>
      <c r="L104" s="33">
        <f t="shared" si="38"/>
        <v>0.26315789473684209</v>
      </c>
      <c r="M104" s="33">
        <f t="shared" si="38"/>
        <v>0.28947368421052633</v>
      </c>
      <c r="N104" s="33">
        <f t="shared" si="38"/>
        <v>0.42105263157894735</v>
      </c>
      <c r="O104" s="33">
        <f t="shared" si="37"/>
        <v>0.28947368421052633</v>
      </c>
      <c r="P104" s="33">
        <f t="shared" si="37"/>
        <v>0.34210526315789475</v>
      </c>
    </row>
    <row r="105" spans="1:16" x14ac:dyDescent="0.2">
      <c r="J105" t="s">
        <v>56</v>
      </c>
      <c r="K105" s="33">
        <f t="shared" si="38"/>
        <v>0.60526315789473684</v>
      </c>
      <c r="L105" s="33">
        <f t="shared" si="38"/>
        <v>0.68421052631578949</v>
      </c>
      <c r="M105" s="33">
        <f t="shared" si="38"/>
        <v>0.60526315789473684</v>
      </c>
      <c r="N105" s="33">
        <f t="shared" si="38"/>
        <v>0.31578947368421051</v>
      </c>
      <c r="O105" s="33">
        <f t="shared" si="37"/>
        <v>0.68421052631578949</v>
      </c>
      <c r="P105" s="33">
        <f t="shared" si="37"/>
        <v>0.57894736842105265</v>
      </c>
    </row>
    <row r="106" spans="1:16" x14ac:dyDescent="0.2">
      <c r="K106" s="25">
        <f>ROUND(K103,2)</f>
        <v>0.08</v>
      </c>
      <c r="L106" s="25"/>
      <c r="M106" s="25"/>
      <c r="N106" s="25"/>
      <c r="O106" s="25"/>
      <c r="P106" s="25"/>
    </row>
    <row r="107" spans="1:16" x14ac:dyDescent="0.2">
      <c r="K107" s="25">
        <f t="shared" ref="K107:K108" si="39">ROUND(K104,2)</f>
        <v>0.32</v>
      </c>
      <c r="L107" s="25"/>
      <c r="M107" s="25"/>
      <c r="N107" s="25"/>
      <c r="O107" s="25"/>
      <c r="P107" s="25"/>
    </row>
    <row r="108" spans="1:16" x14ac:dyDescent="0.2">
      <c r="K108" s="25">
        <f t="shared" si="39"/>
        <v>0.61</v>
      </c>
      <c r="L108" s="25"/>
      <c r="M108" s="25"/>
      <c r="N108" s="25"/>
      <c r="O108" s="25"/>
      <c r="P108" s="25"/>
    </row>
    <row r="111" spans="1:16" x14ac:dyDescent="0.2">
      <c r="J111" s="16" t="s">
        <v>62</v>
      </c>
      <c r="K111" s="2" t="s">
        <v>4</v>
      </c>
      <c r="L111" s="18" t="s">
        <v>54</v>
      </c>
      <c r="M111" s="18" t="s">
        <v>55</v>
      </c>
      <c r="N111" s="18" t="s">
        <v>56</v>
      </c>
      <c r="P111" s="18" t="s">
        <v>63</v>
      </c>
    </row>
    <row r="112" spans="1:16" x14ac:dyDescent="0.2">
      <c r="J112" s="17" t="s">
        <v>52</v>
      </c>
      <c r="K112" s="17"/>
      <c r="L112" s="23">
        <v>0.125</v>
      </c>
      <c r="M112" s="23">
        <v>0.25</v>
      </c>
      <c r="N112" s="23">
        <v>0.625</v>
      </c>
      <c r="P112" s="25">
        <f>SUM(L112:N112)</f>
        <v>1</v>
      </c>
    </row>
    <row r="113" spans="1:16" x14ac:dyDescent="0.2">
      <c r="J113" s="17" t="s">
        <v>32</v>
      </c>
      <c r="K113" s="17"/>
      <c r="L113" s="15">
        <v>0</v>
      </c>
      <c r="M113" s="15">
        <v>0.36363636363636365</v>
      </c>
      <c r="N113" s="15">
        <v>0.63636363636363635</v>
      </c>
      <c r="P113" s="25">
        <f t="shared" ref="P113:P134" si="40">SUM(L113:N113)</f>
        <v>1</v>
      </c>
    </row>
    <row r="114" spans="1:16" x14ac:dyDescent="0.2">
      <c r="J114" s="17" t="s">
        <v>31</v>
      </c>
      <c r="K114" s="17"/>
      <c r="L114" s="15">
        <v>7.8947368421052627E-2</v>
      </c>
      <c r="M114" s="15">
        <v>0.31578947368421051</v>
      </c>
      <c r="N114" s="15">
        <v>0.60526315789473684</v>
      </c>
      <c r="P114" s="25">
        <f t="shared" si="40"/>
        <v>1</v>
      </c>
    </row>
    <row r="115" spans="1:16" x14ac:dyDescent="0.2">
      <c r="J115" s="19" t="s">
        <v>62</v>
      </c>
      <c r="K115" s="2" t="s">
        <v>12</v>
      </c>
      <c r="L115" s="21" t="s">
        <v>54</v>
      </c>
      <c r="M115" s="21" t="s">
        <v>55</v>
      </c>
      <c r="N115" s="21" t="s">
        <v>56</v>
      </c>
      <c r="P115" s="25">
        <f t="shared" si="40"/>
        <v>0</v>
      </c>
    </row>
    <row r="116" spans="1:16" x14ac:dyDescent="0.2">
      <c r="J116" s="20" t="s">
        <v>52</v>
      </c>
      <c r="K116" s="10"/>
      <c r="L116" s="23">
        <v>0</v>
      </c>
      <c r="M116" s="23">
        <v>0</v>
      </c>
      <c r="N116" s="23">
        <v>1</v>
      </c>
      <c r="P116" s="25">
        <f t="shared" si="40"/>
        <v>1</v>
      </c>
    </row>
    <row r="117" spans="1:16" x14ac:dyDescent="0.2">
      <c r="A117" t="s">
        <v>46</v>
      </c>
      <c r="J117" s="20" t="s">
        <v>32</v>
      </c>
      <c r="K117" s="20"/>
      <c r="L117" s="15">
        <v>0</v>
      </c>
      <c r="M117" s="15">
        <v>0.36363636363636365</v>
      </c>
      <c r="N117" s="15">
        <v>0.63636363636363635</v>
      </c>
      <c r="P117" s="25">
        <f t="shared" si="40"/>
        <v>1</v>
      </c>
    </row>
    <row r="118" spans="1:16" x14ac:dyDescent="0.2">
      <c r="J118" s="20" t="s">
        <v>31</v>
      </c>
      <c r="K118" s="20"/>
      <c r="L118" s="15">
        <v>5.2631578947368418E-2</v>
      </c>
      <c r="M118" s="15">
        <v>0.26315789473684209</v>
      </c>
      <c r="N118" s="15">
        <v>0.68421052631578949</v>
      </c>
      <c r="P118" s="25">
        <f t="shared" si="40"/>
        <v>1</v>
      </c>
    </row>
    <row r="119" spans="1:16" x14ac:dyDescent="0.2">
      <c r="J119" s="16" t="s">
        <v>62</v>
      </c>
      <c r="K119" s="2" t="s">
        <v>13</v>
      </c>
      <c r="L119" s="18" t="s">
        <v>54</v>
      </c>
      <c r="M119" s="18" t="s">
        <v>55</v>
      </c>
      <c r="N119" s="18" t="s">
        <v>56</v>
      </c>
      <c r="P119" s="25">
        <f t="shared" si="40"/>
        <v>0</v>
      </c>
    </row>
    <row r="120" spans="1:16" x14ac:dyDescent="0.2">
      <c r="J120" s="17" t="s">
        <v>52</v>
      </c>
      <c r="K120" s="17"/>
      <c r="L120" s="23">
        <v>0.125</v>
      </c>
      <c r="M120" s="23">
        <v>0.375</v>
      </c>
      <c r="N120" s="23">
        <v>0.5</v>
      </c>
      <c r="P120" s="25">
        <f t="shared" si="40"/>
        <v>1</v>
      </c>
    </row>
    <row r="121" spans="1:16" x14ac:dyDescent="0.2">
      <c r="J121" s="17" t="s">
        <v>32</v>
      </c>
      <c r="K121" s="17"/>
      <c r="L121" s="15">
        <v>0.18181818181818182</v>
      </c>
      <c r="M121" s="15">
        <v>9.0909090909090912E-2</v>
      </c>
      <c r="N121" s="15">
        <v>0.72727272727272729</v>
      </c>
      <c r="P121" s="25">
        <f t="shared" si="40"/>
        <v>1</v>
      </c>
    </row>
    <row r="122" spans="1:16" x14ac:dyDescent="0.2">
      <c r="J122" s="17" t="s">
        <v>31</v>
      </c>
      <c r="K122" s="17"/>
      <c r="L122" s="15">
        <v>0.10526315789473684</v>
      </c>
      <c r="M122" s="15">
        <v>0.28947368421052633</v>
      </c>
      <c r="N122" s="15">
        <v>0.60526315789473684</v>
      </c>
      <c r="P122" s="25">
        <f t="shared" si="40"/>
        <v>1</v>
      </c>
    </row>
    <row r="123" spans="1:16" x14ac:dyDescent="0.2">
      <c r="J123" s="19" t="s">
        <v>62</v>
      </c>
      <c r="K123" s="2" t="s">
        <v>18</v>
      </c>
      <c r="L123" s="21" t="s">
        <v>54</v>
      </c>
      <c r="M123" s="21" t="s">
        <v>55</v>
      </c>
      <c r="N123" s="21" t="s">
        <v>56</v>
      </c>
      <c r="P123" s="25">
        <f t="shared" si="40"/>
        <v>0</v>
      </c>
    </row>
    <row r="124" spans="1:16" x14ac:dyDescent="0.2">
      <c r="J124" s="20" t="s">
        <v>52</v>
      </c>
      <c r="K124" s="10"/>
      <c r="L124" s="23">
        <v>0.25</v>
      </c>
      <c r="M124" s="23">
        <v>0.25</v>
      </c>
      <c r="N124" s="23">
        <v>0.5</v>
      </c>
      <c r="P124" s="25">
        <f t="shared" si="40"/>
        <v>1</v>
      </c>
    </row>
    <row r="125" spans="1:16" x14ac:dyDescent="0.2">
      <c r="J125" s="20" t="s">
        <v>32</v>
      </c>
      <c r="K125" s="20"/>
      <c r="L125" s="15">
        <v>0.36363636363636365</v>
      </c>
      <c r="M125" s="15">
        <v>0.36363636363636365</v>
      </c>
      <c r="N125" s="15">
        <v>0.27272727272727271</v>
      </c>
      <c r="P125" s="25">
        <f t="shared" si="40"/>
        <v>1</v>
      </c>
    </row>
    <row r="126" spans="1:16" x14ac:dyDescent="0.2">
      <c r="J126" s="20" t="s">
        <v>31</v>
      </c>
      <c r="K126" s="20"/>
      <c r="L126" s="15">
        <v>0.26315789473684209</v>
      </c>
      <c r="M126" s="15">
        <v>0.42105263157894735</v>
      </c>
      <c r="N126" s="15">
        <v>0.31578947368421051</v>
      </c>
      <c r="P126" s="25">
        <f t="shared" si="40"/>
        <v>0.99999999999999989</v>
      </c>
    </row>
    <row r="127" spans="1:16" x14ac:dyDescent="0.2">
      <c r="J127" s="16" t="s">
        <v>62</v>
      </c>
      <c r="K127" s="2" t="s">
        <v>23</v>
      </c>
      <c r="L127" s="18" t="s">
        <v>54</v>
      </c>
      <c r="M127" s="18" t="s">
        <v>55</v>
      </c>
      <c r="N127" s="18" t="s">
        <v>56</v>
      </c>
      <c r="P127" s="25">
        <f t="shared" si="40"/>
        <v>0</v>
      </c>
    </row>
    <row r="128" spans="1:16" x14ac:dyDescent="0.2">
      <c r="J128" s="17" t="s">
        <v>52</v>
      </c>
      <c r="K128" s="17"/>
      <c r="L128" s="23">
        <v>0</v>
      </c>
      <c r="M128" s="23">
        <v>0</v>
      </c>
      <c r="N128" s="23">
        <v>1</v>
      </c>
      <c r="P128" s="25">
        <f t="shared" si="40"/>
        <v>1</v>
      </c>
    </row>
    <row r="129" spans="10:16" x14ac:dyDescent="0.2">
      <c r="J129" s="17" t="s">
        <v>32</v>
      </c>
      <c r="K129" s="17"/>
      <c r="L129" s="15">
        <v>0</v>
      </c>
      <c r="M129" s="15">
        <v>0.18181818181818182</v>
      </c>
      <c r="N129" s="15">
        <v>0.81818181818181823</v>
      </c>
      <c r="P129" s="25">
        <f t="shared" si="40"/>
        <v>1</v>
      </c>
    </row>
    <row r="130" spans="10:16" x14ac:dyDescent="0.2">
      <c r="J130" s="17" t="s">
        <v>31</v>
      </c>
      <c r="K130" s="17"/>
      <c r="L130" s="15">
        <v>2.6315789473684209E-2</v>
      </c>
      <c r="M130" s="15">
        <v>0.28947368421052633</v>
      </c>
      <c r="N130" s="15">
        <v>0.68421052631578949</v>
      </c>
      <c r="P130" s="25">
        <f t="shared" si="40"/>
        <v>1</v>
      </c>
    </row>
    <row r="131" spans="10:16" x14ac:dyDescent="0.2">
      <c r="J131" s="19" t="s">
        <v>62</v>
      </c>
      <c r="K131" s="2" t="s">
        <v>25</v>
      </c>
      <c r="L131" s="21" t="s">
        <v>54</v>
      </c>
      <c r="M131" s="21" t="s">
        <v>55</v>
      </c>
      <c r="N131" s="21" t="s">
        <v>56</v>
      </c>
      <c r="P131" s="25">
        <f t="shared" si="40"/>
        <v>0</v>
      </c>
    </row>
    <row r="132" spans="10:16" x14ac:dyDescent="0.2">
      <c r="J132" s="20" t="s">
        <v>52</v>
      </c>
      <c r="K132" s="10"/>
      <c r="L132" s="23">
        <v>0.125</v>
      </c>
      <c r="M132" s="23">
        <v>0</v>
      </c>
      <c r="N132" s="23">
        <v>0.875</v>
      </c>
      <c r="P132" s="25">
        <f t="shared" si="40"/>
        <v>1</v>
      </c>
    </row>
    <row r="133" spans="10:16" x14ac:dyDescent="0.2">
      <c r="J133" s="20" t="s">
        <v>32</v>
      </c>
      <c r="K133" s="20"/>
      <c r="L133" s="15">
        <v>0</v>
      </c>
      <c r="M133" s="15">
        <v>0.27272727272727271</v>
      </c>
      <c r="N133" s="15">
        <v>0.72727272727272729</v>
      </c>
      <c r="P133" s="25">
        <f t="shared" si="40"/>
        <v>1</v>
      </c>
    </row>
    <row r="134" spans="10:16" x14ac:dyDescent="0.2">
      <c r="J134" s="20" t="s">
        <v>31</v>
      </c>
      <c r="K134" s="20"/>
      <c r="L134" s="15">
        <v>7.8947368421052627E-2</v>
      </c>
      <c r="M134" s="15">
        <v>0.34210526315789475</v>
      </c>
      <c r="N134" s="15">
        <v>0.57894736842105265</v>
      </c>
      <c r="P134" s="25">
        <f t="shared" si="40"/>
        <v>1</v>
      </c>
    </row>
    <row r="146" spans="8:15" x14ac:dyDescent="0.2">
      <c r="H146" t="s">
        <v>33</v>
      </c>
    </row>
    <row r="147" spans="8:15" x14ac:dyDescent="0.2">
      <c r="J147" t="s">
        <v>4</v>
      </c>
      <c r="K147" t="s">
        <v>12</v>
      </c>
      <c r="L147" t="s">
        <v>13</v>
      </c>
      <c r="M147" t="s">
        <v>18</v>
      </c>
      <c r="N147" t="s">
        <v>23</v>
      </c>
      <c r="O147" t="s">
        <v>25</v>
      </c>
    </row>
    <row r="148" spans="8:15" x14ac:dyDescent="0.2">
      <c r="I148" t="s">
        <v>54</v>
      </c>
      <c r="J148" s="15">
        <v>0.125</v>
      </c>
      <c r="K148" s="15">
        <v>0</v>
      </c>
      <c r="L148" s="15">
        <v>0.125</v>
      </c>
      <c r="M148" s="15">
        <v>0.25</v>
      </c>
      <c r="N148" s="15">
        <v>0</v>
      </c>
      <c r="O148" s="15">
        <v>0.125</v>
      </c>
    </row>
    <row r="149" spans="8:15" x14ac:dyDescent="0.2">
      <c r="I149" t="s">
        <v>55</v>
      </c>
      <c r="J149" s="15">
        <v>0.25</v>
      </c>
      <c r="K149" s="15">
        <v>0</v>
      </c>
      <c r="L149" s="15">
        <v>0.375</v>
      </c>
      <c r="M149" s="15">
        <v>0.25</v>
      </c>
      <c r="N149" s="15">
        <v>0</v>
      </c>
      <c r="O149" s="15">
        <v>0</v>
      </c>
    </row>
    <row r="150" spans="8:15" x14ac:dyDescent="0.2">
      <c r="I150" t="s">
        <v>56</v>
      </c>
      <c r="J150" s="15">
        <v>0.625</v>
      </c>
      <c r="K150" s="15">
        <v>1</v>
      </c>
      <c r="L150" s="15">
        <v>0.5</v>
      </c>
      <c r="M150" s="15">
        <v>0.5</v>
      </c>
      <c r="N150" s="15">
        <v>1</v>
      </c>
      <c r="O150" s="15">
        <v>0.875</v>
      </c>
    </row>
    <row r="152" spans="8:15" x14ac:dyDescent="0.2">
      <c r="H152" t="s">
        <v>32</v>
      </c>
    </row>
    <row r="153" spans="8:15" x14ac:dyDescent="0.2">
      <c r="J153" t="s">
        <v>4</v>
      </c>
      <c r="K153" t="s">
        <v>12</v>
      </c>
      <c r="L153" t="s">
        <v>13</v>
      </c>
      <c r="M153" t="s">
        <v>18</v>
      </c>
      <c r="N153" t="s">
        <v>23</v>
      </c>
      <c r="O153" t="s">
        <v>25</v>
      </c>
    </row>
    <row r="154" spans="8:15" x14ac:dyDescent="0.2">
      <c r="I154" t="s">
        <v>54</v>
      </c>
      <c r="J154" s="15">
        <v>0</v>
      </c>
      <c r="K154" s="15">
        <v>0</v>
      </c>
      <c r="L154" s="15">
        <v>0.18181818181818182</v>
      </c>
      <c r="M154" s="15">
        <v>0.36363636363636365</v>
      </c>
      <c r="N154" s="15">
        <v>0</v>
      </c>
      <c r="O154" s="15">
        <v>0</v>
      </c>
    </row>
    <row r="155" spans="8:15" x14ac:dyDescent="0.2">
      <c r="I155" t="s">
        <v>55</v>
      </c>
      <c r="J155" s="15">
        <v>0.36363636363636365</v>
      </c>
      <c r="K155" s="15">
        <v>0.36363636363636365</v>
      </c>
      <c r="L155" s="15">
        <v>9.0909090909090912E-2</v>
      </c>
      <c r="M155" s="15">
        <v>0.36363636363636365</v>
      </c>
      <c r="N155" s="15">
        <v>0.18181818181818182</v>
      </c>
      <c r="O155" s="15">
        <v>0.27272727272727271</v>
      </c>
    </row>
    <row r="156" spans="8:15" x14ac:dyDescent="0.2">
      <c r="I156" t="s">
        <v>56</v>
      </c>
      <c r="J156" s="15">
        <v>0.63636363636363635</v>
      </c>
      <c r="K156" s="15">
        <v>0.63636363636363635</v>
      </c>
      <c r="L156" s="15">
        <v>0.72727272727272729</v>
      </c>
      <c r="M156" s="15">
        <v>0.27272727272727271</v>
      </c>
      <c r="N156" s="15">
        <v>0.81818181818181823</v>
      </c>
      <c r="O156" s="15">
        <v>0.72727272727272729</v>
      </c>
    </row>
    <row r="158" spans="8:15" x14ac:dyDescent="0.2">
      <c r="H158" t="s">
        <v>31</v>
      </c>
    </row>
    <row r="159" spans="8:15" x14ac:dyDescent="0.2">
      <c r="J159" t="s">
        <v>4</v>
      </c>
      <c r="K159" t="s">
        <v>12</v>
      </c>
      <c r="L159" t="s">
        <v>13</v>
      </c>
      <c r="M159" t="s">
        <v>18</v>
      </c>
      <c r="N159" t="s">
        <v>23</v>
      </c>
      <c r="O159" t="s">
        <v>25</v>
      </c>
    </row>
    <row r="160" spans="8:15" x14ac:dyDescent="0.2">
      <c r="I160" t="s">
        <v>54</v>
      </c>
      <c r="J160" s="15">
        <v>7.8947368421052627E-2</v>
      </c>
      <c r="K160" s="15">
        <v>5.2631578947368418E-2</v>
      </c>
      <c r="L160" s="15">
        <v>0.10526315789473684</v>
      </c>
      <c r="M160" s="15">
        <v>0.26315789473684209</v>
      </c>
      <c r="N160" s="15">
        <v>2.6315789473684209E-2</v>
      </c>
      <c r="O160" s="15">
        <v>7.8947368421052627E-2</v>
      </c>
    </row>
    <row r="161" spans="9:29" x14ac:dyDescent="0.2">
      <c r="I161" t="s">
        <v>55</v>
      </c>
      <c r="J161" s="15">
        <v>0.31578947368421051</v>
      </c>
      <c r="K161" s="15">
        <v>0.26315789473684209</v>
      </c>
      <c r="L161" s="15">
        <v>0.28947368421052633</v>
      </c>
      <c r="M161" s="15">
        <v>0.42105263157894735</v>
      </c>
      <c r="N161" s="15">
        <v>0.28947368421052633</v>
      </c>
      <c r="O161" s="15">
        <v>0.34210526315789475</v>
      </c>
    </row>
    <row r="162" spans="9:29" x14ac:dyDescent="0.2">
      <c r="I162" t="s">
        <v>56</v>
      </c>
      <c r="J162" s="15">
        <v>0.60526315789473684</v>
      </c>
      <c r="K162" s="15">
        <v>0.68421052631578949</v>
      </c>
      <c r="L162" s="15">
        <v>0.60526315789473684</v>
      </c>
      <c r="M162" s="15">
        <v>0.31578947368421051</v>
      </c>
      <c r="N162" s="15">
        <v>0.68421052631578949</v>
      </c>
      <c r="O162" s="15">
        <v>0.57894736842105265</v>
      </c>
    </row>
    <row r="168" spans="9:29" x14ac:dyDescent="0.2">
      <c r="V168" s="3" t="s">
        <v>33</v>
      </c>
      <c r="W168" s="6"/>
    </row>
    <row r="169" spans="9:29" x14ac:dyDescent="0.2">
      <c r="X169" t="s">
        <v>4</v>
      </c>
      <c r="Y169" t="s">
        <v>12</v>
      </c>
      <c r="Z169" t="s">
        <v>13</v>
      </c>
      <c r="AA169" t="s">
        <v>18</v>
      </c>
      <c r="AB169" t="s">
        <v>23</v>
      </c>
      <c r="AC169" t="s">
        <v>25</v>
      </c>
    </row>
    <row r="170" spans="9:29" x14ac:dyDescent="0.2">
      <c r="W170" t="s">
        <v>54</v>
      </c>
      <c r="X170" s="15">
        <v>0.125</v>
      </c>
      <c r="Y170" s="15">
        <v>0</v>
      </c>
      <c r="Z170" s="15">
        <v>0.125</v>
      </c>
      <c r="AA170" s="15">
        <v>0.25</v>
      </c>
      <c r="AB170" s="15">
        <v>0</v>
      </c>
      <c r="AC170" s="15">
        <v>0.125</v>
      </c>
    </row>
    <row r="171" spans="9:29" x14ac:dyDescent="0.2">
      <c r="I171" s="2" t="s">
        <v>4</v>
      </c>
      <c r="K171" s="18" t="s">
        <v>54</v>
      </c>
      <c r="L171" s="18" t="s">
        <v>55</v>
      </c>
      <c r="M171" s="18" t="s">
        <v>56</v>
      </c>
      <c r="P171" s="18" t="s">
        <v>64</v>
      </c>
      <c r="Q171" s="16" t="s">
        <v>62</v>
      </c>
      <c r="R171" s="18" t="s">
        <v>65</v>
      </c>
      <c r="S171" s="18" t="s">
        <v>54</v>
      </c>
      <c r="W171" t="s">
        <v>55</v>
      </c>
      <c r="X171" s="15">
        <v>0.25</v>
      </c>
      <c r="Y171" s="15">
        <v>0</v>
      </c>
      <c r="Z171" s="15">
        <v>0.375</v>
      </c>
      <c r="AA171" s="15">
        <v>0.25</v>
      </c>
      <c r="AB171" s="15">
        <v>0</v>
      </c>
      <c r="AC171" s="15">
        <v>0</v>
      </c>
    </row>
    <row r="172" spans="9:29" x14ac:dyDescent="0.2">
      <c r="J172" s="17" t="s">
        <v>52</v>
      </c>
      <c r="K172" s="23">
        <v>0.125</v>
      </c>
      <c r="L172" s="23">
        <v>0.25</v>
      </c>
      <c r="M172" s="23">
        <v>0.625</v>
      </c>
      <c r="P172" s="2" t="s">
        <v>18</v>
      </c>
      <c r="Q172" s="20" t="s">
        <v>52</v>
      </c>
      <c r="R172" s="18" t="s">
        <v>54</v>
      </c>
      <c r="S172" s="23">
        <v>0.25</v>
      </c>
      <c r="W172" t="s">
        <v>56</v>
      </c>
      <c r="X172" s="15">
        <v>0.625</v>
      </c>
      <c r="Y172" s="15">
        <v>1</v>
      </c>
      <c r="Z172" s="15">
        <v>0.5</v>
      </c>
      <c r="AA172" s="15">
        <v>0.5</v>
      </c>
      <c r="AB172" s="15">
        <v>1</v>
      </c>
      <c r="AC172" s="15">
        <v>0.875</v>
      </c>
    </row>
    <row r="173" spans="9:29" x14ac:dyDescent="0.2">
      <c r="J173" s="17" t="s">
        <v>32</v>
      </c>
      <c r="K173" s="15">
        <v>0</v>
      </c>
      <c r="L173" s="15">
        <v>0.36363636363636365</v>
      </c>
      <c r="M173" s="15">
        <v>0.63636363636363635</v>
      </c>
      <c r="P173" s="2" t="s">
        <v>18</v>
      </c>
      <c r="Q173" s="20" t="s">
        <v>32</v>
      </c>
      <c r="R173" s="18" t="s">
        <v>54</v>
      </c>
      <c r="S173" s="15">
        <v>0.36363636363636365</v>
      </c>
      <c r="V173" t="s">
        <v>32</v>
      </c>
      <c r="X173" s="15"/>
      <c r="Y173" s="15"/>
      <c r="Z173" s="15"/>
      <c r="AA173" s="15"/>
      <c r="AB173" s="15"/>
      <c r="AC173" s="15"/>
    </row>
    <row r="174" spans="9:29" x14ac:dyDescent="0.2">
      <c r="J174" s="17" t="s">
        <v>31</v>
      </c>
      <c r="K174" s="15">
        <v>7.8947368421052627E-2</v>
      </c>
      <c r="L174" s="15">
        <v>0.31578947368421051</v>
      </c>
      <c r="M174" s="15">
        <v>0.60526315789473684</v>
      </c>
      <c r="P174" s="2" t="s">
        <v>18</v>
      </c>
      <c r="Q174" s="20" t="s">
        <v>31</v>
      </c>
      <c r="R174" s="18" t="s">
        <v>54</v>
      </c>
      <c r="S174" s="15">
        <v>0.26315789473684209</v>
      </c>
      <c r="X174" s="15" t="s">
        <v>4</v>
      </c>
      <c r="Y174" s="15" t="s">
        <v>12</v>
      </c>
      <c r="Z174" s="15" t="s">
        <v>13</v>
      </c>
      <c r="AA174" s="15" t="s">
        <v>18</v>
      </c>
      <c r="AB174" s="15" t="s">
        <v>23</v>
      </c>
      <c r="AC174" s="15" t="s">
        <v>25</v>
      </c>
    </row>
    <row r="175" spans="9:29" x14ac:dyDescent="0.2">
      <c r="I175" s="2" t="s">
        <v>12</v>
      </c>
      <c r="K175" s="21" t="s">
        <v>54</v>
      </c>
      <c r="L175" s="21" t="s">
        <v>55</v>
      </c>
      <c r="M175" s="21" t="s">
        <v>56</v>
      </c>
      <c r="P175" s="2" t="s">
        <v>18</v>
      </c>
      <c r="Q175" s="20" t="s">
        <v>52</v>
      </c>
      <c r="R175" s="18" t="s">
        <v>55</v>
      </c>
      <c r="S175" s="23">
        <v>0.25</v>
      </c>
      <c r="W175" t="s">
        <v>54</v>
      </c>
      <c r="X175" s="15">
        <v>0</v>
      </c>
      <c r="Y175" s="15">
        <v>0</v>
      </c>
      <c r="Z175" s="15">
        <v>0.18181818181818182</v>
      </c>
      <c r="AA175" s="15">
        <v>0.36363636363636365</v>
      </c>
      <c r="AB175" s="15">
        <v>0</v>
      </c>
      <c r="AC175" s="15">
        <v>0</v>
      </c>
    </row>
    <row r="176" spans="9:29" x14ac:dyDescent="0.2">
      <c r="J176" s="20" t="s">
        <v>52</v>
      </c>
      <c r="K176" s="23">
        <v>0</v>
      </c>
      <c r="L176" s="23">
        <v>0</v>
      </c>
      <c r="M176" s="23">
        <v>1</v>
      </c>
      <c r="P176" s="2" t="s">
        <v>18</v>
      </c>
      <c r="Q176" s="20" t="s">
        <v>32</v>
      </c>
      <c r="R176" s="18" t="s">
        <v>55</v>
      </c>
      <c r="S176" s="15">
        <v>0.36363636363636365</v>
      </c>
      <c r="W176" t="s">
        <v>55</v>
      </c>
      <c r="X176" s="15">
        <v>0.36363636363636365</v>
      </c>
      <c r="Y176" s="15">
        <v>0.36363636363636365</v>
      </c>
      <c r="Z176" s="15">
        <v>9.0909090909090912E-2</v>
      </c>
      <c r="AA176" s="15">
        <v>0.36363636363636365</v>
      </c>
      <c r="AB176" s="15">
        <v>0.18181818181818182</v>
      </c>
      <c r="AC176" s="15">
        <v>0.27272727272727271</v>
      </c>
    </row>
    <row r="177" spans="9:29" x14ac:dyDescent="0.2">
      <c r="J177" s="20" t="s">
        <v>32</v>
      </c>
      <c r="K177" s="15">
        <v>0</v>
      </c>
      <c r="L177" s="15">
        <v>0.36363636363636365</v>
      </c>
      <c r="M177" s="15">
        <v>0.63636363636363635</v>
      </c>
      <c r="P177" s="2" t="s">
        <v>18</v>
      </c>
      <c r="Q177" s="20" t="s">
        <v>31</v>
      </c>
      <c r="R177" s="18" t="s">
        <v>55</v>
      </c>
      <c r="S177" s="15">
        <v>0.42105263157894735</v>
      </c>
      <c r="W177" t="s">
        <v>56</v>
      </c>
      <c r="X177" s="15">
        <v>0.63636363636363635</v>
      </c>
      <c r="Y177" s="15">
        <v>0.63636363636363635</v>
      </c>
      <c r="Z177" s="15">
        <v>0.72727272727272729</v>
      </c>
      <c r="AA177" s="15">
        <v>0.27272727272727271</v>
      </c>
      <c r="AB177" s="15">
        <v>0.81818181818181823</v>
      </c>
      <c r="AC177" s="15">
        <v>0.72727272727272729</v>
      </c>
    </row>
    <row r="178" spans="9:29" x14ac:dyDescent="0.2">
      <c r="J178" s="20" t="s">
        <v>31</v>
      </c>
      <c r="K178" s="15">
        <v>5.2631578947368418E-2</v>
      </c>
      <c r="L178" s="15">
        <v>0.26315789473684209</v>
      </c>
      <c r="M178" s="15">
        <v>0.68421052631578949</v>
      </c>
      <c r="P178" s="2" t="s">
        <v>18</v>
      </c>
      <c r="Q178" s="20" t="s">
        <v>52</v>
      </c>
      <c r="R178" s="18" t="s">
        <v>56</v>
      </c>
      <c r="S178" s="26">
        <v>0.5</v>
      </c>
      <c r="V178" t="s">
        <v>31</v>
      </c>
      <c r="X178" s="15"/>
      <c r="Y178" s="15"/>
      <c r="Z178" s="15"/>
      <c r="AA178" s="15"/>
      <c r="AB178" s="15"/>
      <c r="AC178" s="15"/>
    </row>
    <row r="179" spans="9:29" x14ac:dyDescent="0.2">
      <c r="I179" s="2" t="s">
        <v>13</v>
      </c>
      <c r="K179" s="18" t="s">
        <v>54</v>
      </c>
      <c r="L179" s="18" t="s">
        <v>55</v>
      </c>
      <c r="M179" s="18" t="s">
        <v>56</v>
      </c>
      <c r="P179" s="2" t="s">
        <v>18</v>
      </c>
      <c r="Q179" s="20" t="s">
        <v>32</v>
      </c>
      <c r="R179" s="18" t="s">
        <v>56</v>
      </c>
      <c r="S179" s="27">
        <v>0.27</v>
      </c>
      <c r="X179" s="15" t="s">
        <v>4</v>
      </c>
      <c r="Y179" s="15" t="s">
        <v>12</v>
      </c>
      <c r="Z179" s="15" t="s">
        <v>13</v>
      </c>
      <c r="AA179" s="15" t="s">
        <v>18</v>
      </c>
      <c r="AB179" s="15" t="s">
        <v>23</v>
      </c>
      <c r="AC179" s="15" t="s">
        <v>25</v>
      </c>
    </row>
    <row r="180" spans="9:29" x14ac:dyDescent="0.2">
      <c r="J180" s="17" t="s">
        <v>52</v>
      </c>
      <c r="K180" s="23">
        <v>0.125</v>
      </c>
      <c r="L180" s="23">
        <v>0.375</v>
      </c>
      <c r="M180" s="23">
        <v>0.5</v>
      </c>
      <c r="P180" s="2" t="s">
        <v>18</v>
      </c>
      <c r="Q180" s="20" t="s">
        <v>31</v>
      </c>
      <c r="R180" s="18" t="s">
        <v>56</v>
      </c>
      <c r="S180" s="27">
        <v>0.32</v>
      </c>
      <c r="W180" t="s">
        <v>54</v>
      </c>
      <c r="X180" s="15">
        <v>7.8947368421052627E-2</v>
      </c>
      <c r="Y180" s="15">
        <v>5.2631578947368418E-2</v>
      </c>
      <c r="Z180" s="15">
        <v>0.10526315789473684</v>
      </c>
      <c r="AA180" s="15">
        <v>0.26315789473684209</v>
      </c>
      <c r="AB180" s="15">
        <v>2.6315789473684209E-2</v>
      </c>
      <c r="AC180" s="15">
        <v>7.8947368421052627E-2</v>
      </c>
    </row>
    <row r="181" spans="9:29" x14ac:dyDescent="0.2">
      <c r="J181" s="17" t="s">
        <v>32</v>
      </c>
      <c r="K181" s="15">
        <v>0.18181818181818182</v>
      </c>
      <c r="L181" s="15">
        <v>9.0909090909090912E-2</v>
      </c>
      <c r="M181" s="15">
        <v>0.72727272727272729</v>
      </c>
      <c r="P181" s="2" t="s">
        <v>13</v>
      </c>
      <c r="Q181" s="17" t="s">
        <v>52</v>
      </c>
      <c r="R181" s="18" t="s">
        <v>54</v>
      </c>
      <c r="S181" s="23">
        <v>0.125</v>
      </c>
      <c r="W181" t="s">
        <v>55</v>
      </c>
      <c r="X181" s="15">
        <v>0.31578947368421051</v>
      </c>
      <c r="Y181" s="15">
        <v>0.26315789473684209</v>
      </c>
      <c r="Z181" s="15">
        <v>0.28947368421052633</v>
      </c>
      <c r="AA181" s="15">
        <v>0.42105263157894735</v>
      </c>
      <c r="AB181" s="15">
        <v>0.28947368421052633</v>
      </c>
      <c r="AC181" s="15">
        <v>0.34210526315789475</v>
      </c>
    </row>
    <row r="182" spans="9:29" x14ac:dyDescent="0.2">
      <c r="J182" s="17" t="s">
        <v>31</v>
      </c>
      <c r="K182" s="15">
        <v>0.10526315789473684</v>
      </c>
      <c r="L182" s="15">
        <v>0.28947368421052633</v>
      </c>
      <c r="M182" s="15">
        <v>0.60526315789473684</v>
      </c>
      <c r="P182" s="2" t="s">
        <v>13</v>
      </c>
      <c r="Q182" s="17" t="s">
        <v>32</v>
      </c>
      <c r="R182" s="18" t="s">
        <v>54</v>
      </c>
      <c r="S182" s="15">
        <v>0.18181818181818182</v>
      </c>
      <c r="W182" t="s">
        <v>56</v>
      </c>
      <c r="X182" s="15">
        <v>0.60526315789473684</v>
      </c>
      <c r="Y182" s="15">
        <v>0.68421052631578949</v>
      </c>
      <c r="Z182" s="15">
        <v>0.60526315789473684</v>
      </c>
      <c r="AA182" s="15">
        <v>0.31578947368421051</v>
      </c>
      <c r="AB182" s="15">
        <v>0.68421052631578949</v>
      </c>
      <c r="AC182" s="15">
        <v>0.57894736842105265</v>
      </c>
    </row>
    <row r="183" spans="9:29" x14ac:dyDescent="0.2">
      <c r="J183" s="2" t="s">
        <v>18</v>
      </c>
      <c r="K183" s="21" t="s">
        <v>54</v>
      </c>
      <c r="L183" s="21" t="s">
        <v>55</v>
      </c>
      <c r="M183" s="21" t="s">
        <v>56</v>
      </c>
      <c r="P183" s="2" t="s">
        <v>13</v>
      </c>
      <c r="Q183" s="17" t="s">
        <v>31</v>
      </c>
      <c r="R183" s="18" t="s">
        <v>54</v>
      </c>
      <c r="S183" s="15">
        <v>0.10526315789473684</v>
      </c>
    </row>
    <row r="184" spans="9:29" x14ac:dyDescent="0.2">
      <c r="J184" s="20" t="s">
        <v>52</v>
      </c>
      <c r="K184" s="23">
        <v>0.25</v>
      </c>
      <c r="L184" s="23">
        <v>0.25</v>
      </c>
      <c r="M184" s="23">
        <v>0.5</v>
      </c>
      <c r="P184" s="2" t="s">
        <v>13</v>
      </c>
      <c r="Q184" s="17" t="s">
        <v>52</v>
      </c>
      <c r="R184" s="18" t="s">
        <v>55</v>
      </c>
      <c r="S184" s="23">
        <v>0.375</v>
      </c>
    </row>
    <row r="185" spans="9:29" x14ac:dyDescent="0.2">
      <c r="J185" s="20" t="s">
        <v>32</v>
      </c>
      <c r="K185" s="15">
        <v>0.36363636363636365</v>
      </c>
      <c r="L185" s="15">
        <v>0.36363636363636365</v>
      </c>
      <c r="M185" s="15">
        <v>0.27272727272727271</v>
      </c>
      <c r="P185" s="2" t="s">
        <v>13</v>
      </c>
      <c r="Q185" s="17" t="s">
        <v>32</v>
      </c>
      <c r="R185" s="18" t="s">
        <v>55</v>
      </c>
      <c r="S185" s="15">
        <v>9.0909090909090912E-2</v>
      </c>
      <c r="V185" t="s">
        <v>4</v>
      </c>
    </row>
    <row r="186" spans="9:29" x14ac:dyDescent="0.2">
      <c r="J186" s="20" t="s">
        <v>31</v>
      </c>
      <c r="K186" s="15">
        <v>0.26315789473684209</v>
      </c>
      <c r="L186" s="15">
        <v>0.42105263157894735</v>
      </c>
      <c r="M186" s="15">
        <v>0.31578947368421051</v>
      </c>
      <c r="P186" s="2" t="s">
        <v>13</v>
      </c>
      <c r="Q186" s="17" t="s">
        <v>31</v>
      </c>
      <c r="R186" s="18" t="s">
        <v>55</v>
      </c>
      <c r="S186" s="15">
        <v>0.28947368421052633</v>
      </c>
      <c r="X186" s="3" t="s">
        <v>33</v>
      </c>
      <c r="Y186" t="s">
        <v>32</v>
      </c>
      <c r="Z186" t="s">
        <v>31</v>
      </c>
    </row>
    <row r="187" spans="9:29" x14ac:dyDescent="0.2">
      <c r="J187" s="2" t="s">
        <v>23</v>
      </c>
      <c r="K187" s="18" t="s">
        <v>54</v>
      </c>
      <c r="L187" s="18" t="s">
        <v>55</v>
      </c>
      <c r="M187" s="18" t="s">
        <v>56</v>
      </c>
      <c r="P187" s="2" t="s">
        <v>13</v>
      </c>
      <c r="Q187" s="17" t="s">
        <v>52</v>
      </c>
      <c r="R187" s="18" t="s">
        <v>56</v>
      </c>
      <c r="S187" s="26">
        <v>0.5</v>
      </c>
      <c r="W187" t="s">
        <v>54</v>
      </c>
      <c r="X187" s="15">
        <v>0.125</v>
      </c>
      <c r="Y187" s="15">
        <v>0</v>
      </c>
      <c r="Z187" s="15">
        <v>7.8947368421052627E-2</v>
      </c>
    </row>
    <row r="188" spans="9:29" x14ac:dyDescent="0.2">
      <c r="J188" s="17" t="s">
        <v>52</v>
      </c>
      <c r="K188" s="23">
        <v>0</v>
      </c>
      <c r="L188" s="23">
        <v>0</v>
      </c>
      <c r="M188" s="23">
        <v>1</v>
      </c>
      <c r="P188" s="2" t="s">
        <v>13</v>
      </c>
      <c r="Q188" s="17" t="s">
        <v>32</v>
      </c>
      <c r="R188" s="18" t="s">
        <v>56</v>
      </c>
      <c r="S188" s="27">
        <v>0.73</v>
      </c>
      <c r="W188" t="s">
        <v>55</v>
      </c>
      <c r="X188" s="15">
        <v>0.25</v>
      </c>
      <c r="Y188" s="15">
        <v>0.36363636363636365</v>
      </c>
      <c r="Z188" s="15">
        <v>0.31578947368421051</v>
      </c>
    </row>
    <row r="189" spans="9:29" x14ac:dyDescent="0.2">
      <c r="J189" s="17" t="s">
        <v>32</v>
      </c>
      <c r="K189" s="15">
        <v>0</v>
      </c>
      <c r="L189" s="15">
        <v>0.18181818181818182</v>
      </c>
      <c r="M189" s="15">
        <v>0.81818181818181823</v>
      </c>
      <c r="P189" s="2" t="s">
        <v>13</v>
      </c>
      <c r="Q189" s="17" t="s">
        <v>31</v>
      </c>
      <c r="R189" s="18" t="s">
        <v>56</v>
      </c>
      <c r="S189" s="27">
        <v>0.61</v>
      </c>
      <c r="W189" t="s">
        <v>56</v>
      </c>
      <c r="X189" s="15">
        <v>0.625</v>
      </c>
      <c r="Y189" s="15">
        <v>0.63636363636363635</v>
      </c>
      <c r="Z189" s="15">
        <v>0.60526315789473684</v>
      </c>
    </row>
    <row r="190" spans="9:29" x14ac:dyDescent="0.2">
      <c r="J190" s="17" t="s">
        <v>31</v>
      </c>
      <c r="K190" s="15">
        <v>2.6315789473684209E-2</v>
      </c>
      <c r="L190" s="15">
        <v>0.28947368421052633</v>
      </c>
      <c r="M190" s="15">
        <v>0.68421052631578949</v>
      </c>
      <c r="P190" s="2" t="s">
        <v>12</v>
      </c>
      <c r="Q190" s="20" t="s">
        <v>52</v>
      </c>
      <c r="R190" s="18" t="s">
        <v>54</v>
      </c>
      <c r="S190" s="23">
        <v>0</v>
      </c>
      <c r="X190" s="15"/>
    </row>
    <row r="191" spans="9:29" x14ac:dyDescent="0.2">
      <c r="J191" s="2" t="s">
        <v>25</v>
      </c>
      <c r="K191" s="21" t="s">
        <v>54</v>
      </c>
      <c r="L191" s="21" t="s">
        <v>55</v>
      </c>
      <c r="M191" s="21" t="s">
        <v>56</v>
      </c>
      <c r="P191" s="2" t="s">
        <v>12</v>
      </c>
      <c r="Q191" s="20" t="s">
        <v>32</v>
      </c>
      <c r="R191" s="18" t="s">
        <v>54</v>
      </c>
      <c r="S191" s="15">
        <v>0</v>
      </c>
      <c r="X191" s="15"/>
    </row>
    <row r="192" spans="9:29" x14ac:dyDescent="0.2">
      <c r="J192" s="20" t="s">
        <v>52</v>
      </c>
      <c r="K192" s="23">
        <v>0.125</v>
      </c>
      <c r="L192" s="23">
        <v>0</v>
      </c>
      <c r="M192" s="23">
        <v>0.875</v>
      </c>
      <c r="P192" s="2" t="s">
        <v>12</v>
      </c>
      <c r="Q192" s="20" t="s">
        <v>31</v>
      </c>
      <c r="R192" s="18" t="s">
        <v>54</v>
      </c>
      <c r="S192" s="15">
        <v>5.2631578947368418E-2</v>
      </c>
      <c r="X192" s="15"/>
    </row>
    <row r="193" spans="10:24" x14ac:dyDescent="0.2">
      <c r="J193" s="20" t="s">
        <v>32</v>
      </c>
      <c r="K193" s="15">
        <v>0</v>
      </c>
      <c r="L193" s="15">
        <v>0.27272727272727271</v>
      </c>
      <c r="M193" s="15">
        <v>0.72727272727272729</v>
      </c>
      <c r="P193" s="2" t="s">
        <v>12</v>
      </c>
      <c r="Q193" s="20" t="s">
        <v>52</v>
      </c>
      <c r="R193" s="18" t="s">
        <v>55</v>
      </c>
      <c r="S193" s="23">
        <v>0</v>
      </c>
      <c r="X193" s="15"/>
    </row>
    <row r="194" spans="10:24" x14ac:dyDescent="0.2">
      <c r="J194" s="20" t="s">
        <v>31</v>
      </c>
      <c r="K194" s="15">
        <v>7.8947368421052627E-2</v>
      </c>
      <c r="L194" s="15">
        <v>0.34210526315789475</v>
      </c>
      <c r="M194" s="15">
        <v>0.57894736842105265</v>
      </c>
      <c r="P194" s="2" t="s">
        <v>12</v>
      </c>
      <c r="Q194" s="20" t="s">
        <v>32</v>
      </c>
      <c r="R194" s="18" t="s">
        <v>55</v>
      </c>
      <c r="S194" s="15">
        <v>0.36363636363636365</v>
      </c>
      <c r="X194" s="15"/>
    </row>
    <row r="195" spans="10:24" x14ac:dyDescent="0.2">
      <c r="P195" s="2" t="s">
        <v>12</v>
      </c>
      <c r="Q195" s="20" t="s">
        <v>31</v>
      </c>
      <c r="R195" s="18" t="s">
        <v>55</v>
      </c>
      <c r="S195" s="15">
        <v>0.26315789473684209</v>
      </c>
      <c r="X195" s="15"/>
    </row>
    <row r="196" spans="10:24" x14ac:dyDescent="0.2">
      <c r="P196" s="2" t="s">
        <v>12</v>
      </c>
      <c r="Q196" s="20" t="s">
        <v>52</v>
      </c>
      <c r="R196" s="18" t="s">
        <v>56</v>
      </c>
      <c r="S196" s="26">
        <v>1</v>
      </c>
      <c r="X196" s="15"/>
    </row>
    <row r="197" spans="10:24" x14ac:dyDescent="0.2">
      <c r="P197" s="2" t="s">
        <v>12</v>
      </c>
      <c r="Q197" s="20" t="s">
        <v>32</v>
      </c>
      <c r="R197" s="18" t="s">
        <v>56</v>
      </c>
      <c r="S197" s="27">
        <v>0.64</v>
      </c>
      <c r="X197" s="15"/>
    </row>
    <row r="198" spans="10:24" x14ac:dyDescent="0.2">
      <c r="P198" s="2" t="s">
        <v>12</v>
      </c>
      <c r="Q198" s="20" t="s">
        <v>31</v>
      </c>
      <c r="R198" s="18" t="s">
        <v>56</v>
      </c>
      <c r="S198" s="27">
        <v>0.68</v>
      </c>
      <c r="X198" s="15"/>
    </row>
    <row r="199" spans="10:24" x14ac:dyDescent="0.2">
      <c r="P199" s="2" t="s">
        <v>23</v>
      </c>
      <c r="Q199" s="17" t="s">
        <v>52</v>
      </c>
      <c r="R199" s="18" t="s">
        <v>54</v>
      </c>
      <c r="S199" s="23">
        <v>0</v>
      </c>
      <c r="X199" s="15"/>
    </row>
    <row r="200" spans="10:24" x14ac:dyDescent="0.2">
      <c r="P200" s="2" t="s">
        <v>23</v>
      </c>
      <c r="Q200" s="17" t="s">
        <v>32</v>
      </c>
      <c r="R200" s="18" t="s">
        <v>54</v>
      </c>
      <c r="S200" s="15">
        <v>0</v>
      </c>
    </row>
    <row r="201" spans="10:24" x14ac:dyDescent="0.2">
      <c r="P201" s="2" t="s">
        <v>23</v>
      </c>
      <c r="Q201" s="17" t="s">
        <v>31</v>
      </c>
      <c r="R201" s="18" t="s">
        <v>54</v>
      </c>
      <c r="S201" s="15">
        <v>2.6315789473684209E-2</v>
      </c>
    </row>
    <row r="202" spans="10:24" x14ac:dyDescent="0.2">
      <c r="P202" s="2" t="s">
        <v>23</v>
      </c>
      <c r="Q202" s="17" t="s">
        <v>52</v>
      </c>
      <c r="R202" s="18" t="s">
        <v>55</v>
      </c>
      <c r="S202" s="23">
        <v>0</v>
      </c>
    </row>
    <row r="203" spans="10:24" x14ac:dyDescent="0.2">
      <c r="P203" s="2" t="s">
        <v>23</v>
      </c>
      <c r="Q203" s="17" t="s">
        <v>32</v>
      </c>
      <c r="R203" s="18" t="s">
        <v>55</v>
      </c>
      <c r="S203" s="15">
        <v>0.18181818181818182</v>
      </c>
    </row>
    <row r="204" spans="10:24" x14ac:dyDescent="0.2">
      <c r="P204" s="2" t="s">
        <v>23</v>
      </c>
      <c r="Q204" s="17" t="s">
        <v>31</v>
      </c>
      <c r="R204" s="18" t="s">
        <v>55</v>
      </c>
      <c r="S204" s="15">
        <v>0.28947368421052633</v>
      </c>
    </row>
    <row r="205" spans="10:24" x14ac:dyDescent="0.2">
      <c r="P205" s="2" t="s">
        <v>23</v>
      </c>
      <c r="Q205" s="17" t="s">
        <v>52</v>
      </c>
      <c r="R205" s="18" t="s">
        <v>56</v>
      </c>
      <c r="S205" s="26">
        <v>1</v>
      </c>
    </row>
    <row r="206" spans="10:24" x14ac:dyDescent="0.2">
      <c r="P206" s="2" t="s">
        <v>23</v>
      </c>
      <c r="Q206" s="17" t="s">
        <v>32</v>
      </c>
      <c r="R206" s="18" t="s">
        <v>56</v>
      </c>
      <c r="S206" s="27">
        <v>0.82</v>
      </c>
    </row>
    <row r="207" spans="10:24" x14ac:dyDescent="0.2">
      <c r="P207" s="2" t="s">
        <v>23</v>
      </c>
      <c r="Q207" s="17" t="s">
        <v>31</v>
      </c>
      <c r="R207" s="18" t="s">
        <v>56</v>
      </c>
      <c r="S207" s="27">
        <v>0.68</v>
      </c>
    </row>
    <row r="208" spans="10:24" x14ac:dyDescent="0.2">
      <c r="P208" s="2" t="s">
        <v>25</v>
      </c>
      <c r="Q208" s="20" t="s">
        <v>52</v>
      </c>
      <c r="R208" s="18" t="s">
        <v>54</v>
      </c>
      <c r="S208" s="23">
        <v>0.125</v>
      </c>
    </row>
    <row r="209" spans="16:19" x14ac:dyDescent="0.2">
      <c r="P209" s="2" t="s">
        <v>25</v>
      </c>
      <c r="Q209" s="20" t="s">
        <v>32</v>
      </c>
      <c r="R209" s="18" t="s">
        <v>54</v>
      </c>
      <c r="S209" s="15">
        <v>0</v>
      </c>
    </row>
    <row r="210" spans="16:19" x14ac:dyDescent="0.2">
      <c r="P210" s="2" t="s">
        <v>25</v>
      </c>
      <c r="Q210" s="20" t="s">
        <v>31</v>
      </c>
      <c r="R210" s="18" t="s">
        <v>54</v>
      </c>
      <c r="S210" s="15">
        <v>7.8947368421052627E-2</v>
      </c>
    </row>
    <row r="211" spans="16:19" x14ac:dyDescent="0.2">
      <c r="P211" s="2" t="s">
        <v>25</v>
      </c>
      <c r="Q211" s="20" t="s">
        <v>52</v>
      </c>
      <c r="R211" s="18" t="s">
        <v>55</v>
      </c>
      <c r="S211" s="23">
        <v>0</v>
      </c>
    </row>
    <row r="212" spans="16:19" x14ac:dyDescent="0.2">
      <c r="P212" s="2" t="s">
        <v>25</v>
      </c>
      <c r="Q212" s="20" t="s">
        <v>32</v>
      </c>
      <c r="R212" s="18" t="s">
        <v>55</v>
      </c>
      <c r="S212" s="15">
        <v>0.27272727272727271</v>
      </c>
    </row>
    <row r="213" spans="16:19" x14ac:dyDescent="0.2">
      <c r="P213" s="2" t="s">
        <v>25</v>
      </c>
      <c r="Q213" s="20" t="s">
        <v>31</v>
      </c>
      <c r="R213" s="18" t="s">
        <v>55</v>
      </c>
      <c r="S213" s="15">
        <v>0.34210526315789475</v>
      </c>
    </row>
    <row r="214" spans="16:19" x14ac:dyDescent="0.2">
      <c r="P214" s="2" t="s">
        <v>25</v>
      </c>
      <c r="Q214" s="20" t="s">
        <v>52</v>
      </c>
      <c r="R214" s="18" t="s">
        <v>56</v>
      </c>
      <c r="S214" s="26">
        <v>0.88</v>
      </c>
    </row>
    <row r="215" spans="16:19" x14ac:dyDescent="0.2">
      <c r="P215" s="2" t="s">
        <v>25</v>
      </c>
      <c r="Q215" s="20" t="s">
        <v>32</v>
      </c>
      <c r="R215" s="18" t="s">
        <v>56</v>
      </c>
      <c r="S215" s="27">
        <v>0.73</v>
      </c>
    </row>
    <row r="216" spans="16:19" x14ac:dyDescent="0.2">
      <c r="P216" s="2" t="s">
        <v>25</v>
      </c>
      <c r="Q216" s="20" t="s">
        <v>31</v>
      </c>
      <c r="R216" s="18" t="s">
        <v>56</v>
      </c>
      <c r="S216" s="27">
        <v>0.57999999999999996</v>
      </c>
    </row>
    <row r="217" spans="16:19" x14ac:dyDescent="0.2">
      <c r="P217" s="2" t="s">
        <v>4</v>
      </c>
      <c r="Q217" s="17" t="s">
        <v>52</v>
      </c>
      <c r="R217" s="18" t="s">
        <v>54</v>
      </c>
      <c r="S217" s="23">
        <v>0.125</v>
      </c>
    </row>
    <row r="218" spans="16:19" x14ac:dyDescent="0.2">
      <c r="P218" s="2" t="s">
        <v>4</v>
      </c>
      <c r="Q218" s="17" t="s">
        <v>32</v>
      </c>
      <c r="R218" s="18" t="s">
        <v>54</v>
      </c>
      <c r="S218" s="15">
        <v>0</v>
      </c>
    </row>
    <row r="219" spans="16:19" x14ac:dyDescent="0.2">
      <c r="P219" s="2" t="s">
        <v>4</v>
      </c>
      <c r="Q219" s="17" t="s">
        <v>31</v>
      </c>
      <c r="R219" s="18" t="s">
        <v>54</v>
      </c>
      <c r="S219" s="15">
        <v>7.8947368421052627E-2</v>
      </c>
    </row>
    <row r="220" spans="16:19" x14ac:dyDescent="0.2">
      <c r="P220" s="2" t="s">
        <v>4</v>
      </c>
      <c r="Q220" s="17" t="s">
        <v>52</v>
      </c>
      <c r="R220" s="18" t="s">
        <v>55</v>
      </c>
      <c r="S220" s="23">
        <v>0.25</v>
      </c>
    </row>
    <row r="221" spans="16:19" x14ac:dyDescent="0.2">
      <c r="P221" s="2" t="s">
        <v>4</v>
      </c>
      <c r="Q221" s="17" t="s">
        <v>32</v>
      </c>
      <c r="R221" s="18" t="s">
        <v>55</v>
      </c>
      <c r="S221" s="15">
        <v>0.36363636363636365</v>
      </c>
    </row>
    <row r="222" spans="16:19" x14ac:dyDescent="0.2">
      <c r="P222" s="2" t="s">
        <v>4</v>
      </c>
      <c r="Q222" s="17" t="s">
        <v>31</v>
      </c>
      <c r="R222" s="18" t="s">
        <v>55</v>
      </c>
      <c r="S222" s="15">
        <v>0.31578947368421051</v>
      </c>
    </row>
    <row r="223" spans="16:19" x14ac:dyDescent="0.2">
      <c r="P223" s="2" t="s">
        <v>4</v>
      </c>
      <c r="Q223" s="17" t="s">
        <v>52</v>
      </c>
      <c r="R223" s="18" t="s">
        <v>56</v>
      </c>
      <c r="S223" s="26">
        <v>0.63</v>
      </c>
    </row>
    <row r="224" spans="16:19" x14ac:dyDescent="0.2">
      <c r="P224" s="2" t="s">
        <v>4</v>
      </c>
      <c r="Q224" s="17" t="s">
        <v>32</v>
      </c>
      <c r="R224" s="18" t="s">
        <v>56</v>
      </c>
      <c r="S224" s="27">
        <v>0.64</v>
      </c>
    </row>
    <row r="225" spans="16:19" x14ac:dyDescent="0.2">
      <c r="P225" s="2" t="s">
        <v>4</v>
      </c>
      <c r="Q225" s="17" t="s">
        <v>31</v>
      </c>
      <c r="R225" s="18" t="s">
        <v>56</v>
      </c>
      <c r="S225" s="27">
        <v>0.61</v>
      </c>
    </row>
  </sheetData>
  <autoFilter ref="P171:S225" xr:uid="{00000000-0001-0000-0200-000000000000}">
    <sortState xmlns:xlrd2="http://schemas.microsoft.com/office/spreadsheetml/2017/richdata2" ref="P172:S225">
      <sortCondition ref="P171:P225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32"/>
  <sheetViews>
    <sheetView topLeftCell="H1" zoomScale="90" zoomScaleNormal="90" workbookViewId="0">
      <selection activeCell="Z84" sqref="Z84:AE84"/>
    </sheetView>
  </sheetViews>
  <sheetFormatPr baseColWidth="10" defaultRowHeight="16" x14ac:dyDescent="0.2"/>
  <sheetData>
    <row r="1" spans="1:31" x14ac:dyDescent="0.2">
      <c r="A1" s="3" t="s">
        <v>47</v>
      </c>
      <c r="J1" s="3" t="s">
        <v>48</v>
      </c>
      <c r="Y1" s="3" t="s">
        <v>49</v>
      </c>
    </row>
    <row r="2" spans="1:31" x14ac:dyDescent="0.2">
      <c r="A2" s="2" t="s">
        <v>34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J2" s="2" t="s">
        <v>34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2" t="s">
        <v>38</v>
      </c>
      <c r="Y2" s="2" t="s">
        <v>34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</row>
    <row r="3" spans="1:31" x14ac:dyDescent="0.2">
      <c r="A3" t="s">
        <v>0</v>
      </c>
      <c r="B3" t="s">
        <v>40</v>
      </c>
      <c r="C3" t="s">
        <v>9</v>
      </c>
      <c r="D3" t="s">
        <v>41</v>
      </c>
      <c r="E3" t="s">
        <v>27</v>
      </c>
      <c r="F3" t="s">
        <v>28</v>
      </c>
      <c r="G3" t="s">
        <v>30</v>
      </c>
      <c r="J3" t="s">
        <v>0</v>
      </c>
      <c r="K3" t="s">
        <v>40</v>
      </c>
      <c r="L3" t="s">
        <v>9</v>
      </c>
      <c r="M3" t="s">
        <v>41</v>
      </c>
      <c r="N3" t="s">
        <v>27</v>
      </c>
      <c r="O3" t="s">
        <v>28</v>
      </c>
      <c r="P3" t="s">
        <v>30</v>
      </c>
      <c r="Y3" t="s">
        <v>0</v>
      </c>
      <c r="Z3" t="s">
        <v>5</v>
      </c>
      <c r="AA3" t="s">
        <v>9</v>
      </c>
      <c r="AB3" t="s">
        <v>22</v>
      </c>
      <c r="AC3" t="s">
        <v>27</v>
      </c>
      <c r="AD3" t="s">
        <v>28</v>
      </c>
      <c r="AE3" t="s">
        <v>30</v>
      </c>
    </row>
    <row r="4" spans="1:31" x14ac:dyDescent="0.2">
      <c r="A4" s="1" t="s">
        <v>33</v>
      </c>
      <c r="B4">
        <v>4</v>
      </c>
      <c r="C4">
        <v>4</v>
      </c>
      <c r="D4">
        <v>5</v>
      </c>
      <c r="E4">
        <v>4</v>
      </c>
      <c r="F4">
        <v>4</v>
      </c>
      <c r="G4">
        <v>4</v>
      </c>
      <c r="J4" s="1" t="s">
        <v>33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Y4" s="1" t="s">
        <v>33</v>
      </c>
      <c r="Z4">
        <v>4</v>
      </c>
      <c r="AA4">
        <v>4</v>
      </c>
      <c r="AB4">
        <v>5</v>
      </c>
      <c r="AC4">
        <v>4</v>
      </c>
      <c r="AD4">
        <v>4</v>
      </c>
      <c r="AE4">
        <v>4</v>
      </c>
    </row>
    <row r="5" spans="1:31" x14ac:dyDescent="0.2">
      <c r="A5" t="s">
        <v>32</v>
      </c>
      <c r="B5">
        <v>4</v>
      </c>
      <c r="C5">
        <v>5</v>
      </c>
      <c r="D5">
        <v>5</v>
      </c>
      <c r="E5">
        <v>4</v>
      </c>
      <c r="F5">
        <v>4</v>
      </c>
      <c r="G5">
        <v>5</v>
      </c>
      <c r="J5" s="2" t="s">
        <v>32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Y5" t="s">
        <v>32</v>
      </c>
      <c r="Z5">
        <v>4</v>
      </c>
      <c r="AA5">
        <v>5</v>
      </c>
      <c r="AB5">
        <v>5</v>
      </c>
      <c r="AC5">
        <v>4</v>
      </c>
      <c r="AD5">
        <v>4</v>
      </c>
      <c r="AE5">
        <v>5</v>
      </c>
    </row>
    <row r="6" spans="1:31" x14ac:dyDescent="0.2">
      <c r="A6" t="s">
        <v>32</v>
      </c>
      <c r="B6">
        <v>4</v>
      </c>
      <c r="C6">
        <v>4</v>
      </c>
      <c r="D6">
        <v>5</v>
      </c>
      <c r="E6">
        <v>3</v>
      </c>
      <c r="F6">
        <v>3</v>
      </c>
      <c r="G6">
        <v>5</v>
      </c>
      <c r="J6" s="2" t="s">
        <v>32</v>
      </c>
      <c r="K6" s="2">
        <v>3</v>
      </c>
      <c r="L6" s="2">
        <v>3</v>
      </c>
      <c r="M6" s="2">
        <v>3</v>
      </c>
      <c r="N6" s="2">
        <v>2</v>
      </c>
      <c r="O6" s="2">
        <v>2</v>
      </c>
      <c r="P6" s="2">
        <v>3</v>
      </c>
      <c r="Y6" t="s">
        <v>32</v>
      </c>
      <c r="Z6">
        <v>4</v>
      </c>
      <c r="AA6">
        <v>4</v>
      </c>
      <c r="AB6">
        <v>5</v>
      </c>
      <c r="AC6">
        <v>3</v>
      </c>
      <c r="AD6">
        <v>3</v>
      </c>
      <c r="AE6">
        <v>5</v>
      </c>
    </row>
    <row r="7" spans="1:31" x14ac:dyDescent="0.2">
      <c r="A7" t="s">
        <v>32</v>
      </c>
      <c r="B7">
        <v>4</v>
      </c>
      <c r="C7">
        <v>3</v>
      </c>
      <c r="D7">
        <v>4</v>
      </c>
      <c r="E7">
        <v>4</v>
      </c>
      <c r="F7">
        <v>4</v>
      </c>
      <c r="G7">
        <v>5</v>
      </c>
      <c r="J7" s="2" t="s">
        <v>32</v>
      </c>
      <c r="K7" s="2">
        <v>3</v>
      </c>
      <c r="L7" s="2">
        <v>2</v>
      </c>
      <c r="M7" s="2">
        <v>3</v>
      </c>
      <c r="N7" s="2">
        <v>3</v>
      </c>
      <c r="O7" s="2">
        <v>3</v>
      </c>
      <c r="P7" s="2">
        <v>3</v>
      </c>
      <c r="Y7" t="s">
        <v>32</v>
      </c>
      <c r="Z7">
        <v>4</v>
      </c>
      <c r="AA7">
        <v>3</v>
      </c>
      <c r="AB7">
        <v>4</v>
      </c>
      <c r="AC7">
        <v>4</v>
      </c>
      <c r="AD7">
        <v>4</v>
      </c>
      <c r="AE7">
        <v>5</v>
      </c>
    </row>
    <row r="8" spans="1:31" x14ac:dyDescent="0.2">
      <c r="A8" t="s">
        <v>32</v>
      </c>
      <c r="B8">
        <v>3</v>
      </c>
      <c r="C8">
        <v>2</v>
      </c>
      <c r="D8">
        <v>4</v>
      </c>
      <c r="E8">
        <v>4</v>
      </c>
      <c r="F8">
        <v>3</v>
      </c>
      <c r="G8">
        <v>5</v>
      </c>
      <c r="J8" s="2" t="s">
        <v>32</v>
      </c>
      <c r="K8" s="2">
        <v>2</v>
      </c>
      <c r="L8" s="2">
        <v>1</v>
      </c>
      <c r="M8" s="2">
        <v>3</v>
      </c>
      <c r="N8" s="2">
        <v>3</v>
      </c>
      <c r="O8" s="2">
        <v>2</v>
      </c>
      <c r="P8" s="2">
        <v>3</v>
      </c>
      <c r="Y8" t="s">
        <v>32</v>
      </c>
      <c r="Z8">
        <v>3</v>
      </c>
      <c r="AA8">
        <v>2</v>
      </c>
      <c r="AB8">
        <v>4</v>
      </c>
      <c r="AC8">
        <v>4</v>
      </c>
      <c r="AD8">
        <v>3</v>
      </c>
      <c r="AE8">
        <v>5</v>
      </c>
    </row>
    <row r="9" spans="1:31" x14ac:dyDescent="0.2">
      <c r="A9" t="s">
        <v>32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J9" s="2" t="s">
        <v>32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Y9" t="s">
        <v>32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</row>
    <row r="10" spans="1:31" x14ac:dyDescent="0.2">
      <c r="A10" t="s">
        <v>32</v>
      </c>
      <c r="B10">
        <v>3</v>
      </c>
      <c r="C10">
        <v>4</v>
      </c>
      <c r="D10">
        <v>4</v>
      </c>
      <c r="E10">
        <v>4</v>
      </c>
      <c r="F10">
        <v>3</v>
      </c>
      <c r="G10">
        <v>4</v>
      </c>
      <c r="J10" s="2" t="s">
        <v>32</v>
      </c>
      <c r="K10" s="2">
        <v>2</v>
      </c>
      <c r="L10" s="2">
        <v>3</v>
      </c>
      <c r="M10" s="2">
        <v>3</v>
      </c>
      <c r="N10" s="2">
        <v>3</v>
      </c>
      <c r="O10" s="2">
        <v>2</v>
      </c>
      <c r="P10" s="2">
        <v>3</v>
      </c>
      <c r="Y10" t="s">
        <v>32</v>
      </c>
      <c r="Z10">
        <v>3</v>
      </c>
      <c r="AA10">
        <v>4</v>
      </c>
      <c r="AB10">
        <v>4</v>
      </c>
      <c r="AC10">
        <v>4</v>
      </c>
      <c r="AD10">
        <v>3</v>
      </c>
      <c r="AE10">
        <v>4</v>
      </c>
    </row>
    <row r="11" spans="1:31" x14ac:dyDescent="0.2">
      <c r="A11" t="s">
        <v>32</v>
      </c>
      <c r="B11">
        <v>4</v>
      </c>
      <c r="C11">
        <v>2</v>
      </c>
      <c r="D11">
        <v>4</v>
      </c>
      <c r="E11">
        <v>3</v>
      </c>
      <c r="F11">
        <v>3</v>
      </c>
      <c r="G11">
        <v>4</v>
      </c>
      <c r="J11" s="2" t="s">
        <v>32</v>
      </c>
      <c r="K11" s="2">
        <v>3</v>
      </c>
      <c r="L11" s="2">
        <v>1</v>
      </c>
      <c r="M11" s="2">
        <v>3</v>
      </c>
      <c r="N11" s="2">
        <v>2</v>
      </c>
      <c r="O11" s="2">
        <v>2</v>
      </c>
      <c r="P11" s="2">
        <v>3</v>
      </c>
      <c r="Y11" t="s">
        <v>32</v>
      </c>
      <c r="Z11">
        <v>4</v>
      </c>
      <c r="AA11">
        <v>2</v>
      </c>
      <c r="AB11">
        <v>4</v>
      </c>
      <c r="AC11">
        <v>3</v>
      </c>
      <c r="AD11">
        <v>3</v>
      </c>
      <c r="AE11">
        <v>4</v>
      </c>
    </row>
    <row r="12" spans="1:31" x14ac:dyDescent="0.2">
      <c r="A12" t="s">
        <v>32</v>
      </c>
      <c r="B12">
        <v>4</v>
      </c>
      <c r="C12">
        <v>4</v>
      </c>
      <c r="D12">
        <v>5</v>
      </c>
      <c r="E12">
        <v>5</v>
      </c>
      <c r="F12">
        <v>5</v>
      </c>
      <c r="G12">
        <v>5</v>
      </c>
      <c r="J12" s="2" t="s">
        <v>32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Y12" t="s">
        <v>32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5</v>
      </c>
    </row>
    <row r="13" spans="1:31" x14ac:dyDescent="0.2">
      <c r="A13" t="s">
        <v>32</v>
      </c>
      <c r="B13">
        <v>3</v>
      </c>
      <c r="C13">
        <v>3</v>
      </c>
      <c r="D13">
        <v>4</v>
      </c>
      <c r="E13">
        <v>4</v>
      </c>
      <c r="F13">
        <v>2</v>
      </c>
      <c r="G13">
        <v>5</v>
      </c>
      <c r="J13" s="2" t="s">
        <v>32</v>
      </c>
      <c r="K13" s="2">
        <v>2</v>
      </c>
      <c r="L13" s="2">
        <v>2</v>
      </c>
      <c r="M13" s="2">
        <v>3</v>
      </c>
      <c r="N13" s="2">
        <v>3</v>
      </c>
      <c r="O13" s="2">
        <v>1</v>
      </c>
      <c r="P13" s="2">
        <v>3</v>
      </c>
      <c r="Y13" t="s">
        <v>32</v>
      </c>
      <c r="Z13">
        <v>3</v>
      </c>
      <c r="AA13">
        <v>3</v>
      </c>
      <c r="AB13">
        <v>4</v>
      </c>
      <c r="AC13">
        <v>4</v>
      </c>
      <c r="AD13">
        <v>2</v>
      </c>
      <c r="AE13">
        <v>5</v>
      </c>
    </row>
    <row r="14" spans="1:31" x14ac:dyDescent="0.2">
      <c r="A14" t="s">
        <v>32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J14" s="2" t="s">
        <v>32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Y14" t="s">
        <v>32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</row>
    <row r="15" spans="1:31" x14ac:dyDescent="0.2">
      <c r="A15" t="s">
        <v>32</v>
      </c>
      <c r="B15">
        <v>3</v>
      </c>
      <c r="C15">
        <v>3</v>
      </c>
      <c r="D15">
        <v>3</v>
      </c>
      <c r="E15">
        <v>3</v>
      </c>
      <c r="F15">
        <v>4</v>
      </c>
      <c r="G15">
        <v>4</v>
      </c>
      <c r="J15" s="2" t="s">
        <v>32</v>
      </c>
      <c r="K15" s="2">
        <v>2</v>
      </c>
      <c r="L15" s="2">
        <v>2</v>
      </c>
      <c r="M15" s="2">
        <v>2</v>
      </c>
      <c r="N15" s="2">
        <v>2</v>
      </c>
      <c r="O15" s="2">
        <v>3</v>
      </c>
      <c r="P15" s="2">
        <v>3</v>
      </c>
      <c r="Y15" t="s">
        <v>32</v>
      </c>
      <c r="Z15">
        <v>3</v>
      </c>
      <c r="AA15">
        <v>3</v>
      </c>
      <c r="AB15">
        <v>3</v>
      </c>
      <c r="AC15">
        <v>3</v>
      </c>
      <c r="AD15">
        <v>4</v>
      </c>
      <c r="AE15">
        <v>4</v>
      </c>
    </row>
    <row r="16" spans="1:31" x14ac:dyDescent="0.2">
      <c r="A16" t="s">
        <v>33</v>
      </c>
      <c r="B16">
        <v>5</v>
      </c>
      <c r="C16">
        <v>4</v>
      </c>
      <c r="D16">
        <v>5</v>
      </c>
      <c r="E16">
        <v>5</v>
      </c>
      <c r="F16">
        <v>4</v>
      </c>
      <c r="G16">
        <v>5</v>
      </c>
      <c r="J16" s="2" t="s">
        <v>33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Y16" t="s">
        <v>33</v>
      </c>
      <c r="Z16">
        <v>5</v>
      </c>
      <c r="AA16">
        <v>4</v>
      </c>
      <c r="AB16">
        <v>5</v>
      </c>
      <c r="AC16">
        <v>5</v>
      </c>
      <c r="AD16">
        <v>4</v>
      </c>
      <c r="AE16">
        <v>5</v>
      </c>
    </row>
    <row r="17" spans="1:31" x14ac:dyDescent="0.2">
      <c r="A17" t="s">
        <v>33</v>
      </c>
      <c r="B17">
        <v>4</v>
      </c>
      <c r="C17">
        <v>4</v>
      </c>
      <c r="D17">
        <v>4</v>
      </c>
      <c r="E17">
        <v>4</v>
      </c>
      <c r="F17">
        <v>3</v>
      </c>
      <c r="G17">
        <v>4</v>
      </c>
      <c r="J17" s="2" t="s">
        <v>33</v>
      </c>
      <c r="K17" s="2">
        <v>3</v>
      </c>
      <c r="L17" s="2">
        <v>3</v>
      </c>
      <c r="M17" s="2">
        <v>3</v>
      </c>
      <c r="N17" s="2">
        <v>3</v>
      </c>
      <c r="O17" s="2">
        <v>2</v>
      </c>
      <c r="P17" s="2">
        <v>3</v>
      </c>
      <c r="Y17" t="s">
        <v>33</v>
      </c>
      <c r="Z17">
        <v>4</v>
      </c>
      <c r="AA17">
        <v>4</v>
      </c>
      <c r="AB17">
        <v>4</v>
      </c>
      <c r="AC17">
        <v>4</v>
      </c>
      <c r="AD17">
        <v>3</v>
      </c>
      <c r="AE17">
        <v>4</v>
      </c>
    </row>
    <row r="18" spans="1:31" x14ac:dyDescent="0.2">
      <c r="A18" t="s">
        <v>33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J18" s="2" t="s">
        <v>33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Y18" t="s">
        <v>33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</row>
    <row r="19" spans="1:31" x14ac:dyDescent="0.2">
      <c r="A19" t="s">
        <v>33</v>
      </c>
      <c r="B19">
        <v>3</v>
      </c>
      <c r="C19">
        <v>3</v>
      </c>
      <c r="D19">
        <v>4</v>
      </c>
      <c r="E19">
        <v>3</v>
      </c>
      <c r="F19">
        <v>3</v>
      </c>
      <c r="G19">
        <v>4</v>
      </c>
      <c r="J19" s="2" t="s">
        <v>33</v>
      </c>
      <c r="K19" s="2">
        <v>2</v>
      </c>
      <c r="L19" s="2">
        <v>2</v>
      </c>
      <c r="M19" s="2">
        <v>3</v>
      </c>
      <c r="N19" s="2">
        <v>2</v>
      </c>
      <c r="O19" s="2">
        <v>2</v>
      </c>
      <c r="P19" s="2">
        <v>3</v>
      </c>
      <c r="Y19" t="s">
        <v>33</v>
      </c>
      <c r="Z19">
        <v>3</v>
      </c>
      <c r="AA19">
        <v>3</v>
      </c>
      <c r="AB19">
        <v>4</v>
      </c>
      <c r="AC19">
        <v>3</v>
      </c>
      <c r="AD19">
        <v>3</v>
      </c>
      <c r="AE19">
        <v>4</v>
      </c>
    </row>
    <row r="20" spans="1:31" x14ac:dyDescent="0.2">
      <c r="A20" t="s">
        <v>33</v>
      </c>
      <c r="B20">
        <v>4</v>
      </c>
      <c r="C20">
        <v>3</v>
      </c>
      <c r="D20">
        <v>4</v>
      </c>
      <c r="E20">
        <v>4</v>
      </c>
      <c r="F20">
        <v>4</v>
      </c>
      <c r="G20">
        <v>4</v>
      </c>
      <c r="J20" s="2" t="s">
        <v>33</v>
      </c>
      <c r="K20" s="2">
        <v>3</v>
      </c>
      <c r="L20" s="2">
        <v>2</v>
      </c>
      <c r="M20" s="2">
        <v>3</v>
      </c>
      <c r="N20" s="2">
        <v>3</v>
      </c>
      <c r="O20" s="2">
        <v>3</v>
      </c>
      <c r="P20" s="2">
        <v>3</v>
      </c>
      <c r="Y20" t="s">
        <v>33</v>
      </c>
      <c r="Z20">
        <v>4</v>
      </c>
      <c r="AA20">
        <v>3</v>
      </c>
      <c r="AB20">
        <v>4</v>
      </c>
      <c r="AC20">
        <v>4</v>
      </c>
      <c r="AD20">
        <v>4</v>
      </c>
      <c r="AE20">
        <v>4</v>
      </c>
    </row>
    <row r="21" spans="1:31" x14ac:dyDescent="0.2">
      <c r="A21" t="s">
        <v>33</v>
      </c>
      <c r="B21">
        <v>4</v>
      </c>
      <c r="C21">
        <v>2</v>
      </c>
      <c r="D21">
        <v>4</v>
      </c>
      <c r="E21">
        <v>4</v>
      </c>
      <c r="F21">
        <v>3</v>
      </c>
      <c r="G21">
        <v>4</v>
      </c>
      <c r="J21" s="2" t="s">
        <v>33</v>
      </c>
      <c r="K21" s="2">
        <v>3</v>
      </c>
      <c r="L21" s="2">
        <v>1</v>
      </c>
      <c r="M21" s="2">
        <v>3</v>
      </c>
      <c r="N21" s="2">
        <v>3</v>
      </c>
      <c r="O21" s="2">
        <v>2</v>
      </c>
      <c r="P21" s="2">
        <v>3</v>
      </c>
      <c r="Y21" t="s">
        <v>33</v>
      </c>
      <c r="Z21">
        <v>4</v>
      </c>
      <c r="AA21">
        <v>2</v>
      </c>
      <c r="AB21">
        <v>4</v>
      </c>
      <c r="AC21">
        <v>4</v>
      </c>
      <c r="AD21">
        <v>3</v>
      </c>
      <c r="AE21">
        <v>4</v>
      </c>
    </row>
    <row r="22" spans="1:31" x14ac:dyDescent="0.2">
      <c r="A22" t="s">
        <v>33</v>
      </c>
      <c r="B22">
        <v>4</v>
      </c>
      <c r="C22">
        <v>3</v>
      </c>
      <c r="D22">
        <v>4</v>
      </c>
      <c r="E22">
        <v>3</v>
      </c>
      <c r="F22">
        <v>4</v>
      </c>
      <c r="G22">
        <v>4</v>
      </c>
      <c r="J22" s="2" t="s">
        <v>33</v>
      </c>
      <c r="K22" s="2">
        <v>3</v>
      </c>
      <c r="L22" s="2">
        <v>2</v>
      </c>
      <c r="M22" s="2">
        <v>3</v>
      </c>
      <c r="N22" s="2">
        <v>2</v>
      </c>
      <c r="O22" s="2">
        <v>3</v>
      </c>
      <c r="P22" s="2">
        <v>3</v>
      </c>
      <c r="Y22" t="s">
        <v>33</v>
      </c>
      <c r="Z22">
        <v>4</v>
      </c>
      <c r="AA22">
        <v>3</v>
      </c>
      <c r="AB22">
        <v>4</v>
      </c>
      <c r="AC22">
        <v>3</v>
      </c>
      <c r="AD22">
        <v>4</v>
      </c>
      <c r="AE22">
        <v>4</v>
      </c>
    </row>
    <row r="23" spans="1:31" x14ac:dyDescent="0.2">
      <c r="A23" t="s">
        <v>31</v>
      </c>
      <c r="B23">
        <v>2</v>
      </c>
      <c r="C23">
        <v>3</v>
      </c>
      <c r="D23">
        <v>4</v>
      </c>
      <c r="E23">
        <v>3</v>
      </c>
      <c r="F23">
        <v>4</v>
      </c>
      <c r="G23">
        <v>4</v>
      </c>
      <c r="J23" s="2" t="s">
        <v>31</v>
      </c>
      <c r="K23" s="2">
        <v>1</v>
      </c>
      <c r="L23" s="2">
        <v>2</v>
      </c>
      <c r="M23" s="2">
        <v>3</v>
      </c>
      <c r="N23" s="2">
        <v>2</v>
      </c>
      <c r="O23" s="2">
        <v>3</v>
      </c>
      <c r="P23" s="2">
        <v>3</v>
      </c>
      <c r="Y23" t="s">
        <v>31</v>
      </c>
      <c r="Z23">
        <v>2</v>
      </c>
      <c r="AA23">
        <v>3</v>
      </c>
      <c r="AB23">
        <v>4</v>
      </c>
      <c r="AC23">
        <v>3</v>
      </c>
      <c r="AD23">
        <v>4</v>
      </c>
      <c r="AE23">
        <v>4</v>
      </c>
    </row>
    <row r="24" spans="1:31" x14ac:dyDescent="0.2">
      <c r="A24" t="s">
        <v>31</v>
      </c>
      <c r="B24">
        <v>4</v>
      </c>
      <c r="C24">
        <v>4</v>
      </c>
      <c r="D24">
        <v>4</v>
      </c>
      <c r="E24">
        <v>3</v>
      </c>
      <c r="F24">
        <v>3</v>
      </c>
      <c r="G24">
        <v>3</v>
      </c>
      <c r="J24" s="2" t="s">
        <v>31</v>
      </c>
      <c r="K24" s="2">
        <v>3</v>
      </c>
      <c r="L24" s="2">
        <v>3</v>
      </c>
      <c r="M24" s="2">
        <v>3</v>
      </c>
      <c r="N24" s="2">
        <v>2</v>
      </c>
      <c r="O24" s="2">
        <v>2</v>
      </c>
      <c r="P24" s="2">
        <v>2</v>
      </c>
      <c r="Y24" t="s">
        <v>31</v>
      </c>
      <c r="Z24">
        <v>4</v>
      </c>
      <c r="AA24">
        <v>4</v>
      </c>
      <c r="AB24">
        <v>4</v>
      </c>
      <c r="AC24">
        <v>3</v>
      </c>
      <c r="AD24">
        <v>3</v>
      </c>
      <c r="AE24">
        <v>3</v>
      </c>
    </row>
    <row r="25" spans="1:31" x14ac:dyDescent="0.2">
      <c r="A25" t="s">
        <v>31</v>
      </c>
      <c r="B25">
        <v>3</v>
      </c>
      <c r="C25">
        <v>3</v>
      </c>
      <c r="D25">
        <v>4</v>
      </c>
      <c r="E25">
        <v>3</v>
      </c>
      <c r="F25">
        <v>4</v>
      </c>
      <c r="G25">
        <v>4</v>
      </c>
      <c r="J25" s="2" t="s">
        <v>31</v>
      </c>
      <c r="K25" s="2">
        <v>2</v>
      </c>
      <c r="L25" s="2">
        <v>2</v>
      </c>
      <c r="M25" s="2">
        <v>3</v>
      </c>
      <c r="N25" s="2">
        <v>2</v>
      </c>
      <c r="O25" s="2">
        <v>3</v>
      </c>
      <c r="P25" s="2">
        <v>3</v>
      </c>
      <c r="Y25" t="s">
        <v>31</v>
      </c>
      <c r="Z25">
        <v>3</v>
      </c>
      <c r="AA25">
        <v>3</v>
      </c>
      <c r="AB25">
        <v>4</v>
      </c>
      <c r="AC25">
        <v>3</v>
      </c>
      <c r="AD25">
        <v>4</v>
      </c>
      <c r="AE25">
        <v>4</v>
      </c>
    </row>
    <row r="26" spans="1:31" x14ac:dyDescent="0.2">
      <c r="A26" t="s">
        <v>31</v>
      </c>
      <c r="B26">
        <v>3</v>
      </c>
      <c r="C26">
        <v>3</v>
      </c>
      <c r="D26">
        <v>4</v>
      </c>
      <c r="E26">
        <v>3</v>
      </c>
      <c r="F26">
        <v>3</v>
      </c>
      <c r="G26">
        <v>3</v>
      </c>
      <c r="J26" s="2" t="s">
        <v>31</v>
      </c>
      <c r="K26" s="2">
        <v>2</v>
      </c>
      <c r="L26" s="2">
        <v>2</v>
      </c>
      <c r="M26" s="2">
        <v>3</v>
      </c>
      <c r="N26" s="2">
        <v>2</v>
      </c>
      <c r="O26" s="2">
        <v>2</v>
      </c>
      <c r="P26" s="2">
        <v>2</v>
      </c>
      <c r="Y26" t="s">
        <v>31</v>
      </c>
      <c r="Z26">
        <v>3</v>
      </c>
      <c r="AA26">
        <v>3</v>
      </c>
      <c r="AB26">
        <v>4</v>
      </c>
      <c r="AC26">
        <v>3</v>
      </c>
      <c r="AD26">
        <v>3</v>
      </c>
      <c r="AE26">
        <v>3</v>
      </c>
    </row>
    <row r="27" spans="1:31" x14ac:dyDescent="0.2">
      <c r="A27" t="s">
        <v>31</v>
      </c>
      <c r="B27">
        <v>2</v>
      </c>
      <c r="C27">
        <v>3</v>
      </c>
      <c r="D27">
        <v>5</v>
      </c>
      <c r="E27">
        <v>4</v>
      </c>
      <c r="F27">
        <v>3</v>
      </c>
      <c r="G27">
        <v>4</v>
      </c>
      <c r="J27" s="2" t="s">
        <v>31</v>
      </c>
      <c r="K27" s="2">
        <v>1</v>
      </c>
      <c r="L27" s="2">
        <v>2</v>
      </c>
      <c r="M27" s="2">
        <v>3</v>
      </c>
      <c r="N27" s="2">
        <v>3</v>
      </c>
      <c r="O27" s="2">
        <v>2</v>
      </c>
      <c r="P27" s="2">
        <v>3</v>
      </c>
      <c r="Y27" t="s">
        <v>31</v>
      </c>
      <c r="Z27">
        <v>2</v>
      </c>
      <c r="AA27">
        <v>3</v>
      </c>
      <c r="AB27">
        <v>5</v>
      </c>
      <c r="AC27">
        <v>4</v>
      </c>
      <c r="AD27">
        <v>3</v>
      </c>
      <c r="AE27">
        <v>4</v>
      </c>
    </row>
    <row r="28" spans="1:31" x14ac:dyDescent="0.2">
      <c r="A28" t="s">
        <v>31</v>
      </c>
      <c r="B28">
        <v>4</v>
      </c>
      <c r="C28">
        <v>3</v>
      </c>
      <c r="D28">
        <v>3</v>
      </c>
      <c r="E28">
        <v>3</v>
      </c>
      <c r="F28">
        <v>3</v>
      </c>
      <c r="G28">
        <v>4</v>
      </c>
      <c r="J28" s="2" t="s">
        <v>31</v>
      </c>
      <c r="K28" s="2">
        <v>3</v>
      </c>
      <c r="L28" s="2">
        <v>2</v>
      </c>
      <c r="M28" s="2">
        <v>2</v>
      </c>
      <c r="N28" s="2">
        <v>2</v>
      </c>
      <c r="O28" s="2">
        <v>2</v>
      </c>
      <c r="P28" s="2">
        <v>3</v>
      </c>
      <c r="Y28" t="s">
        <v>31</v>
      </c>
      <c r="Z28">
        <v>4</v>
      </c>
      <c r="AA28">
        <v>3</v>
      </c>
      <c r="AB28">
        <v>3</v>
      </c>
      <c r="AC28">
        <v>3</v>
      </c>
      <c r="AD28">
        <v>3</v>
      </c>
      <c r="AE28">
        <v>4</v>
      </c>
    </row>
    <row r="29" spans="1:31" x14ac:dyDescent="0.2">
      <c r="A29" t="s">
        <v>31</v>
      </c>
      <c r="B29">
        <v>3</v>
      </c>
      <c r="C29">
        <v>4</v>
      </c>
      <c r="D29">
        <v>4</v>
      </c>
      <c r="E29">
        <v>3</v>
      </c>
      <c r="F29">
        <v>4</v>
      </c>
      <c r="G29">
        <v>4</v>
      </c>
      <c r="J29" s="2" t="s">
        <v>31</v>
      </c>
      <c r="K29" s="2">
        <v>2</v>
      </c>
      <c r="L29" s="2">
        <v>3</v>
      </c>
      <c r="M29" s="2">
        <v>3</v>
      </c>
      <c r="N29" s="2">
        <v>2</v>
      </c>
      <c r="O29" s="2">
        <v>3</v>
      </c>
      <c r="P29" s="2">
        <v>3</v>
      </c>
      <c r="Y29" t="s">
        <v>31</v>
      </c>
      <c r="Z29">
        <v>3</v>
      </c>
      <c r="AA29">
        <v>4</v>
      </c>
      <c r="AB29">
        <v>4</v>
      </c>
      <c r="AC29">
        <v>3</v>
      </c>
      <c r="AD29">
        <v>4</v>
      </c>
      <c r="AE29">
        <v>4</v>
      </c>
    </row>
    <row r="30" spans="1:31" x14ac:dyDescent="0.2">
      <c r="A30" t="s">
        <v>31</v>
      </c>
      <c r="B30">
        <v>4</v>
      </c>
      <c r="C30">
        <v>2</v>
      </c>
      <c r="D30">
        <v>4</v>
      </c>
      <c r="E30">
        <v>3</v>
      </c>
      <c r="F30">
        <v>2</v>
      </c>
      <c r="G30">
        <v>4</v>
      </c>
      <c r="J30" s="2" t="s">
        <v>31</v>
      </c>
      <c r="K30" s="2">
        <v>3</v>
      </c>
      <c r="L30" s="2">
        <v>1</v>
      </c>
      <c r="M30" s="2">
        <v>3</v>
      </c>
      <c r="N30" s="2">
        <v>2</v>
      </c>
      <c r="O30" s="2">
        <v>1</v>
      </c>
      <c r="P30" s="2">
        <v>3</v>
      </c>
      <c r="Y30" t="s">
        <v>31</v>
      </c>
      <c r="Z30">
        <v>4</v>
      </c>
      <c r="AA30">
        <v>2</v>
      </c>
      <c r="AB30">
        <v>4</v>
      </c>
      <c r="AC30">
        <v>3</v>
      </c>
      <c r="AD30">
        <v>2</v>
      </c>
      <c r="AE30">
        <v>4</v>
      </c>
    </row>
    <row r="31" spans="1:31" x14ac:dyDescent="0.2">
      <c r="A31" t="s">
        <v>31</v>
      </c>
      <c r="B31">
        <v>5</v>
      </c>
      <c r="C31">
        <v>3</v>
      </c>
      <c r="D31">
        <v>5</v>
      </c>
      <c r="E31">
        <v>3</v>
      </c>
      <c r="F31">
        <v>4</v>
      </c>
      <c r="G31">
        <v>5</v>
      </c>
      <c r="J31" s="2" t="s">
        <v>31</v>
      </c>
      <c r="K31" s="2">
        <v>3</v>
      </c>
      <c r="L31" s="2">
        <v>2</v>
      </c>
      <c r="M31" s="2">
        <v>3</v>
      </c>
      <c r="N31" s="2">
        <v>2</v>
      </c>
      <c r="O31" s="2">
        <v>3</v>
      </c>
      <c r="P31" s="2">
        <v>3</v>
      </c>
      <c r="Y31" t="s">
        <v>31</v>
      </c>
      <c r="Z31">
        <v>5</v>
      </c>
      <c r="AA31">
        <v>3</v>
      </c>
      <c r="AB31">
        <v>5</v>
      </c>
      <c r="AC31">
        <v>3</v>
      </c>
      <c r="AD31">
        <v>4</v>
      </c>
      <c r="AE31">
        <v>5</v>
      </c>
    </row>
    <row r="32" spans="1:31" x14ac:dyDescent="0.2">
      <c r="A32" t="s">
        <v>31</v>
      </c>
      <c r="B32">
        <v>4</v>
      </c>
      <c r="C32">
        <v>4</v>
      </c>
      <c r="D32">
        <v>4</v>
      </c>
      <c r="E32">
        <v>5</v>
      </c>
      <c r="F32">
        <v>4</v>
      </c>
      <c r="G32">
        <v>5</v>
      </c>
      <c r="J32" s="2" t="s">
        <v>31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Y32" t="s">
        <v>31</v>
      </c>
      <c r="Z32">
        <v>4</v>
      </c>
      <c r="AA32">
        <v>4</v>
      </c>
      <c r="AB32">
        <v>4</v>
      </c>
      <c r="AC32">
        <v>5</v>
      </c>
      <c r="AD32">
        <v>4</v>
      </c>
      <c r="AE32">
        <v>5</v>
      </c>
    </row>
    <row r="33" spans="1:31" x14ac:dyDescent="0.2">
      <c r="A33" t="s">
        <v>31</v>
      </c>
      <c r="B33">
        <v>3</v>
      </c>
      <c r="C33">
        <v>4</v>
      </c>
      <c r="D33">
        <v>4</v>
      </c>
      <c r="E33">
        <v>3</v>
      </c>
      <c r="F33">
        <v>4</v>
      </c>
      <c r="G33">
        <v>4</v>
      </c>
      <c r="J33" s="2" t="s">
        <v>31</v>
      </c>
      <c r="K33" s="2">
        <v>2</v>
      </c>
      <c r="L33" s="2">
        <v>3</v>
      </c>
      <c r="M33" s="2">
        <v>3</v>
      </c>
      <c r="N33" s="2">
        <v>2</v>
      </c>
      <c r="O33" s="2">
        <v>3</v>
      </c>
      <c r="P33" s="2">
        <v>3</v>
      </c>
      <c r="Y33" t="s">
        <v>31</v>
      </c>
      <c r="Z33">
        <v>3</v>
      </c>
      <c r="AA33">
        <v>4</v>
      </c>
      <c r="AB33">
        <v>4</v>
      </c>
      <c r="AC33">
        <v>3</v>
      </c>
      <c r="AD33">
        <v>4</v>
      </c>
      <c r="AE33">
        <v>4</v>
      </c>
    </row>
    <row r="34" spans="1:31" x14ac:dyDescent="0.2">
      <c r="A34" t="s">
        <v>31</v>
      </c>
      <c r="B34">
        <v>2</v>
      </c>
      <c r="C34">
        <v>4</v>
      </c>
      <c r="D34">
        <v>3</v>
      </c>
      <c r="E34">
        <v>3</v>
      </c>
      <c r="F34">
        <v>2</v>
      </c>
      <c r="G34">
        <v>5</v>
      </c>
      <c r="J34" s="2" t="s">
        <v>31</v>
      </c>
      <c r="K34" s="2">
        <v>1</v>
      </c>
      <c r="L34" s="2">
        <v>3</v>
      </c>
      <c r="M34" s="2">
        <v>2</v>
      </c>
      <c r="N34" s="2">
        <v>2</v>
      </c>
      <c r="O34" s="2">
        <v>1</v>
      </c>
      <c r="P34" s="2">
        <v>3</v>
      </c>
      <c r="Y34" t="s">
        <v>31</v>
      </c>
      <c r="Z34">
        <v>2</v>
      </c>
      <c r="AA34">
        <v>4</v>
      </c>
      <c r="AB34">
        <v>3</v>
      </c>
      <c r="AC34">
        <v>3</v>
      </c>
      <c r="AD34">
        <v>2</v>
      </c>
      <c r="AE34">
        <v>5</v>
      </c>
    </row>
    <row r="35" spans="1:31" x14ac:dyDescent="0.2">
      <c r="A35" t="s">
        <v>31</v>
      </c>
      <c r="B35">
        <v>4</v>
      </c>
      <c r="C35">
        <v>4</v>
      </c>
      <c r="D35">
        <v>5</v>
      </c>
      <c r="E35">
        <v>3</v>
      </c>
      <c r="F35">
        <v>3</v>
      </c>
      <c r="G35">
        <v>4</v>
      </c>
      <c r="J35" s="2" t="s">
        <v>31</v>
      </c>
      <c r="K35" s="2">
        <v>3</v>
      </c>
      <c r="L35" s="2">
        <v>3</v>
      </c>
      <c r="M35" s="2">
        <v>3</v>
      </c>
      <c r="N35" s="2">
        <v>2</v>
      </c>
      <c r="O35" s="2">
        <v>2</v>
      </c>
      <c r="P35" s="2">
        <v>3</v>
      </c>
      <c r="Y35" t="s">
        <v>31</v>
      </c>
      <c r="Z35">
        <v>4</v>
      </c>
      <c r="AA35">
        <v>4</v>
      </c>
      <c r="AB35">
        <v>5</v>
      </c>
      <c r="AC35">
        <v>3</v>
      </c>
      <c r="AD35">
        <v>3</v>
      </c>
      <c r="AE35">
        <v>4</v>
      </c>
    </row>
    <row r="36" spans="1:31" x14ac:dyDescent="0.2">
      <c r="A36" t="s">
        <v>31</v>
      </c>
      <c r="B36">
        <v>4</v>
      </c>
      <c r="C36">
        <v>3</v>
      </c>
      <c r="D36">
        <v>5</v>
      </c>
      <c r="E36">
        <v>5</v>
      </c>
      <c r="F36">
        <v>5</v>
      </c>
      <c r="G36">
        <v>5</v>
      </c>
      <c r="J36" s="2" t="s">
        <v>31</v>
      </c>
      <c r="K36" s="2">
        <v>3</v>
      </c>
      <c r="L36" s="2">
        <v>2</v>
      </c>
      <c r="M36" s="2">
        <v>3</v>
      </c>
      <c r="N36" s="2">
        <v>3</v>
      </c>
      <c r="O36" s="2">
        <v>3</v>
      </c>
      <c r="P36" s="2">
        <v>3</v>
      </c>
      <c r="Y36" t="s">
        <v>31</v>
      </c>
      <c r="Z36">
        <v>4</v>
      </c>
      <c r="AA36">
        <v>3</v>
      </c>
      <c r="AB36">
        <v>5</v>
      </c>
      <c r="AC36">
        <v>5</v>
      </c>
      <c r="AD36">
        <v>5</v>
      </c>
      <c r="AE36">
        <v>5</v>
      </c>
    </row>
    <row r="37" spans="1:31" x14ac:dyDescent="0.2">
      <c r="A37" t="s">
        <v>31</v>
      </c>
      <c r="B37">
        <v>3</v>
      </c>
      <c r="C37">
        <v>3</v>
      </c>
      <c r="D37">
        <v>3</v>
      </c>
      <c r="E37">
        <v>3</v>
      </c>
      <c r="F37">
        <v>4</v>
      </c>
      <c r="G37">
        <v>4</v>
      </c>
      <c r="J37" s="2" t="s">
        <v>31</v>
      </c>
      <c r="K37" s="2">
        <v>2</v>
      </c>
      <c r="L37" s="2">
        <v>2</v>
      </c>
      <c r="M37" s="2">
        <v>2</v>
      </c>
      <c r="N37" s="2">
        <v>2</v>
      </c>
      <c r="O37" s="2">
        <v>3</v>
      </c>
      <c r="P37" s="2">
        <v>3</v>
      </c>
      <c r="Y37" t="s">
        <v>31</v>
      </c>
      <c r="Z37">
        <v>3</v>
      </c>
      <c r="AA37">
        <v>3</v>
      </c>
      <c r="AB37">
        <v>3</v>
      </c>
      <c r="AC37">
        <v>3</v>
      </c>
      <c r="AD37">
        <v>4</v>
      </c>
      <c r="AE37">
        <v>4</v>
      </c>
    </row>
    <row r="38" spans="1:31" x14ac:dyDescent="0.2">
      <c r="A38" t="s">
        <v>31</v>
      </c>
      <c r="B38">
        <v>4</v>
      </c>
      <c r="C38">
        <v>3</v>
      </c>
      <c r="D38">
        <v>5</v>
      </c>
      <c r="E38">
        <v>4</v>
      </c>
      <c r="F38">
        <v>4</v>
      </c>
      <c r="G38">
        <v>3</v>
      </c>
      <c r="J38" s="2" t="s">
        <v>31</v>
      </c>
      <c r="K38" s="2">
        <v>3</v>
      </c>
      <c r="L38" s="2">
        <v>2</v>
      </c>
      <c r="M38" s="2">
        <v>3</v>
      </c>
      <c r="N38" s="2">
        <v>3</v>
      </c>
      <c r="O38" s="2">
        <v>3</v>
      </c>
      <c r="P38" s="2">
        <v>2</v>
      </c>
      <c r="Y38" t="s">
        <v>31</v>
      </c>
      <c r="Z38">
        <v>4</v>
      </c>
      <c r="AA38">
        <v>3</v>
      </c>
      <c r="AB38">
        <v>5</v>
      </c>
      <c r="AC38">
        <v>4</v>
      </c>
      <c r="AD38">
        <v>4</v>
      </c>
      <c r="AE38">
        <v>3</v>
      </c>
    </row>
    <row r="39" spans="1:31" x14ac:dyDescent="0.2">
      <c r="A39" t="s">
        <v>31</v>
      </c>
      <c r="B39">
        <v>5</v>
      </c>
      <c r="C39">
        <v>4</v>
      </c>
      <c r="D39">
        <v>5</v>
      </c>
      <c r="E39">
        <v>5</v>
      </c>
      <c r="F39">
        <v>3</v>
      </c>
      <c r="G39">
        <v>5</v>
      </c>
      <c r="J39" s="2" t="s">
        <v>31</v>
      </c>
      <c r="K39" s="2">
        <v>3</v>
      </c>
      <c r="L39" s="2">
        <v>3</v>
      </c>
      <c r="M39" s="2">
        <v>3</v>
      </c>
      <c r="N39" s="2">
        <v>3</v>
      </c>
      <c r="O39" s="2">
        <v>2</v>
      </c>
      <c r="P39" s="2">
        <v>3</v>
      </c>
      <c r="Y39" t="s">
        <v>31</v>
      </c>
      <c r="Z39">
        <v>5</v>
      </c>
      <c r="AA39">
        <v>4</v>
      </c>
      <c r="AB39">
        <v>5</v>
      </c>
      <c r="AC39">
        <v>5</v>
      </c>
      <c r="AD39">
        <v>3</v>
      </c>
      <c r="AE39">
        <v>5</v>
      </c>
    </row>
    <row r="40" spans="1:31" x14ac:dyDescent="0.2">
      <c r="A40" t="s">
        <v>31</v>
      </c>
      <c r="B40">
        <v>5</v>
      </c>
      <c r="C40">
        <v>5</v>
      </c>
      <c r="D40">
        <v>5</v>
      </c>
      <c r="E40">
        <v>5</v>
      </c>
      <c r="F40">
        <v>4</v>
      </c>
      <c r="G40">
        <v>5</v>
      </c>
      <c r="J40" s="2" t="s">
        <v>31</v>
      </c>
      <c r="K40" s="2">
        <v>3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Y40" t="s">
        <v>31</v>
      </c>
      <c r="Z40">
        <v>5</v>
      </c>
      <c r="AA40">
        <v>5</v>
      </c>
      <c r="AB40">
        <v>5</v>
      </c>
      <c r="AC40">
        <v>5</v>
      </c>
      <c r="AD40">
        <v>4</v>
      </c>
      <c r="AE40">
        <v>5</v>
      </c>
    </row>
    <row r="41" spans="1:31" x14ac:dyDescent="0.2">
      <c r="A41" t="s">
        <v>31</v>
      </c>
      <c r="B41">
        <v>3</v>
      </c>
      <c r="C41">
        <v>5</v>
      </c>
      <c r="D41">
        <v>5</v>
      </c>
      <c r="E41">
        <v>3</v>
      </c>
      <c r="F41">
        <v>3</v>
      </c>
      <c r="G41">
        <v>5</v>
      </c>
      <c r="J41" s="2" t="s">
        <v>31</v>
      </c>
      <c r="K41" s="2">
        <v>2</v>
      </c>
      <c r="L41" s="2">
        <v>3</v>
      </c>
      <c r="M41" s="2">
        <v>3</v>
      </c>
      <c r="N41" s="2">
        <v>2</v>
      </c>
      <c r="O41" s="2">
        <v>2</v>
      </c>
      <c r="P41" s="2">
        <v>3</v>
      </c>
      <c r="Y41" t="s">
        <v>31</v>
      </c>
      <c r="Z41">
        <v>3</v>
      </c>
      <c r="AA41">
        <v>5</v>
      </c>
      <c r="AB41">
        <v>5</v>
      </c>
      <c r="AC41">
        <v>3</v>
      </c>
      <c r="AD41">
        <v>3</v>
      </c>
      <c r="AE41">
        <v>5</v>
      </c>
    </row>
    <row r="42" spans="1:31" x14ac:dyDescent="0.2">
      <c r="A42" t="s">
        <v>31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J42" s="2" t="s">
        <v>31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Y42" t="s">
        <v>31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</row>
    <row r="43" spans="1:31" x14ac:dyDescent="0.2">
      <c r="A43" t="s">
        <v>31</v>
      </c>
      <c r="B43">
        <v>5</v>
      </c>
      <c r="C43">
        <v>4</v>
      </c>
      <c r="D43">
        <v>5</v>
      </c>
      <c r="E43">
        <v>5</v>
      </c>
      <c r="F43">
        <v>5</v>
      </c>
      <c r="G43">
        <v>5</v>
      </c>
      <c r="J43" s="2" t="s">
        <v>31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Y43" t="s">
        <v>31</v>
      </c>
      <c r="Z43">
        <v>5</v>
      </c>
      <c r="AA43">
        <v>4</v>
      </c>
      <c r="AB43">
        <v>5</v>
      </c>
      <c r="AC43">
        <v>5</v>
      </c>
      <c r="AD43">
        <v>5</v>
      </c>
      <c r="AE43">
        <v>5</v>
      </c>
    </row>
    <row r="44" spans="1:31" x14ac:dyDescent="0.2">
      <c r="A44" t="s">
        <v>31</v>
      </c>
      <c r="B44">
        <v>3</v>
      </c>
      <c r="C44">
        <v>4</v>
      </c>
      <c r="D44">
        <v>3</v>
      </c>
      <c r="E44">
        <v>3</v>
      </c>
      <c r="F44">
        <v>3</v>
      </c>
      <c r="G44">
        <v>4</v>
      </c>
      <c r="J44" s="2" t="s">
        <v>31</v>
      </c>
      <c r="K44" s="2">
        <v>2</v>
      </c>
      <c r="L44" s="2">
        <v>3</v>
      </c>
      <c r="M44" s="2">
        <v>2</v>
      </c>
      <c r="N44" s="2">
        <v>2</v>
      </c>
      <c r="O44" s="2">
        <v>2</v>
      </c>
      <c r="P44" s="2">
        <v>3</v>
      </c>
      <c r="Y44" t="s">
        <v>31</v>
      </c>
      <c r="Z44">
        <v>3</v>
      </c>
      <c r="AA44">
        <v>4</v>
      </c>
      <c r="AB44">
        <v>3</v>
      </c>
      <c r="AC44">
        <v>3</v>
      </c>
      <c r="AD44">
        <v>3</v>
      </c>
      <c r="AE44">
        <v>4</v>
      </c>
    </row>
    <row r="45" spans="1:31" x14ac:dyDescent="0.2">
      <c r="A45" t="s">
        <v>31</v>
      </c>
      <c r="B45">
        <v>4</v>
      </c>
      <c r="C45">
        <v>2</v>
      </c>
      <c r="D45">
        <v>4</v>
      </c>
      <c r="E45">
        <v>4</v>
      </c>
      <c r="F45">
        <v>4</v>
      </c>
      <c r="G45">
        <v>4</v>
      </c>
      <c r="J45" s="2" t="s">
        <v>31</v>
      </c>
      <c r="K45" s="2">
        <v>3</v>
      </c>
      <c r="L45" s="2">
        <v>1</v>
      </c>
      <c r="M45" s="2">
        <v>3</v>
      </c>
      <c r="N45" s="2">
        <v>3</v>
      </c>
      <c r="O45" s="2">
        <v>3</v>
      </c>
      <c r="P45" s="2">
        <v>3</v>
      </c>
      <c r="Y45" t="s">
        <v>31</v>
      </c>
      <c r="Z45">
        <v>4</v>
      </c>
      <c r="AA45">
        <v>2</v>
      </c>
      <c r="AB45">
        <v>4</v>
      </c>
      <c r="AC45">
        <v>4</v>
      </c>
      <c r="AD45">
        <v>4</v>
      </c>
      <c r="AE45">
        <v>4</v>
      </c>
    </row>
    <row r="46" spans="1:31" x14ac:dyDescent="0.2">
      <c r="A46" t="s">
        <v>31</v>
      </c>
      <c r="B46">
        <v>4</v>
      </c>
      <c r="C46">
        <v>4</v>
      </c>
      <c r="D46">
        <v>5</v>
      </c>
      <c r="E46">
        <v>4</v>
      </c>
      <c r="F46">
        <v>4</v>
      </c>
      <c r="G46">
        <v>5</v>
      </c>
      <c r="J46" s="2" t="s">
        <v>31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Y46" t="s">
        <v>31</v>
      </c>
      <c r="Z46">
        <v>4</v>
      </c>
      <c r="AA46">
        <v>4</v>
      </c>
      <c r="AB46">
        <v>5</v>
      </c>
      <c r="AC46">
        <v>4</v>
      </c>
      <c r="AD46">
        <v>4</v>
      </c>
      <c r="AE46">
        <v>5</v>
      </c>
    </row>
    <row r="47" spans="1:31" x14ac:dyDescent="0.2">
      <c r="A47" t="s">
        <v>31</v>
      </c>
      <c r="B47">
        <v>3</v>
      </c>
      <c r="C47">
        <v>4</v>
      </c>
      <c r="D47">
        <v>5</v>
      </c>
      <c r="E47">
        <v>4</v>
      </c>
      <c r="F47">
        <v>4</v>
      </c>
      <c r="G47">
        <v>5</v>
      </c>
      <c r="J47" s="2" t="s">
        <v>31</v>
      </c>
      <c r="K47" s="2">
        <v>2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Y47" t="s">
        <v>31</v>
      </c>
      <c r="Z47">
        <v>3</v>
      </c>
      <c r="AA47">
        <v>4</v>
      </c>
      <c r="AB47">
        <v>5</v>
      </c>
      <c r="AC47">
        <v>4</v>
      </c>
      <c r="AD47">
        <v>4</v>
      </c>
      <c r="AE47">
        <v>5</v>
      </c>
    </row>
    <row r="48" spans="1:31" x14ac:dyDescent="0.2">
      <c r="A48" t="s">
        <v>31</v>
      </c>
      <c r="B48">
        <v>4</v>
      </c>
      <c r="C48">
        <v>3</v>
      </c>
      <c r="D48">
        <v>4</v>
      </c>
      <c r="E48">
        <v>4</v>
      </c>
      <c r="F48">
        <v>3</v>
      </c>
      <c r="G48">
        <v>4</v>
      </c>
      <c r="J48" s="2" t="s">
        <v>31</v>
      </c>
      <c r="K48" s="2">
        <v>3</v>
      </c>
      <c r="L48" s="2">
        <v>2</v>
      </c>
      <c r="M48" s="2">
        <v>3</v>
      </c>
      <c r="N48" s="2">
        <v>3</v>
      </c>
      <c r="O48" s="2">
        <v>2</v>
      </c>
      <c r="P48" s="2">
        <v>3</v>
      </c>
      <c r="Y48" t="s">
        <v>31</v>
      </c>
      <c r="Z48">
        <v>4</v>
      </c>
      <c r="AA48">
        <v>3</v>
      </c>
      <c r="AB48">
        <v>4</v>
      </c>
      <c r="AC48">
        <v>4</v>
      </c>
      <c r="AD48">
        <v>3</v>
      </c>
      <c r="AE48">
        <v>4</v>
      </c>
    </row>
    <row r="49" spans="1:31" x14ac:dyDescent="0.2">
      <c r="A49" t="s">
        <v>31</v>
      </c>
      <c r="B49">
        <v>3</v>
      </c>
      <c r="C49">
        <v>4</v>
      </c>
      <c r="D49">
        <v>5</v>
      </c>
      <c r="E49">
        <v>4</v>
      </c>
      <c r="F49">
        <v>4</v>
      </c>
      <c r="G49">
        <v>5</v>
      </c>
      <c r="J49" s="2" t="s">
        <v>31</v>
      </c>
      <c r="K49" s="2">
        <v>2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Y49" t="s">
        <v>31</v>
      </c>
      <c r="Z49">
        <v>3</v>
      </c>
      <c r="AA49">
        <v>4</v>
      </c>
      <c r="AB49">
        <v>5</v>
      </c>
      <c r="AC49">
        <v>4</v>
      </c>
      <c r="AD49">
        <v>4</v>
      </c>
      <c r="AE49">
        <v>5</v>
      </c>
    </row>
    <row r="50" spans="1:31" x14ac:dyDescent="0.2">
      <c r="A50" t="s">
        <v>31</v>
      </c>
      <c r="B50">
        <v>5</v>
      </c>
      <c r="C50">
        <v>4</v>
      </c>
      <c r="D50">
        <v>5</v>
      </c>
      <c r="E50">
        <v>5</v>
      </c>
      <c r="F50">
        <v>4</v>
      </c>
      <c r="G50">
        <v>5</v>
      </c>
      <c r="J50" s="2" t="s">
        <v>31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Y50" t="s">
        <v>31</v>
      </c>
      <c r="Z50">
        <v>5</v>
      </c>
      <c r="AA50">
        <v>4</v>
      </c>
      <c r="AB50">
        <v>5</v>
      </c>
      <c r="AC50">
        <v>5</v>
      </c>
      <c r="AD50">
        <v>4</v>
      </c>
      <c r="AE50">
        <v>5</v>
      </c>
    </row>
    <row r="51" spans="1:31" x14ac:dyDescent="0.2">
      <c r="A51" t="s">
        <v>31</v>
      </c>
      <c r="B51">
        <v>4</v>
      </c>
      <c r="C51">
        <v>3</v>
      </c>
      <c r="D51">
        <v>4</v>
      </c>
      <c r="E51">
        <v>4</v>
      </c>
      <c r="F51">
        <v>4</v>
      </c>
      <c r="G51">
        <v>3</v>
      </c>
      <c r="J51" s="2" t="s">
        <v>31</v>
      </c>
      <c r="K51" s="2">
        <v>3</v>
      </c>
      <c r="L51" s="2">
        <v>2</v>
      </c>
      <c r="M51" s="2">
        <v>3</v>
      </c>
      <c r="N51" s="2">
        <v>3</v>
      </c>
      <c r="O51" s="2">
        <v>3</v>
      </c>
      <c r="P51" s="2">
        <v>2</v>
      </c>
      <c r="Y51" t="s">
        <v>31</v>
      </c>
      <c r="Z51">
        <v>4</v>
      </c>
      <c r="AA51">
        <v>3</v>
      </c>
      <c r="AB51">
        <v>4</v>
      </c>
      <c r="AC51">
        <v>4</v>
      </c>
      <c r="AD51">
        <v>4</v>
      </c>
      <c r="AE51">
        <v>3</v>
      </c>
    </row>
    <row r="52" spans="1:31" x14ac:dyDescent="0.2">
      <c r="A52" t="s">
        <v>31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J52" s="2" t="s">
        <v>31</v>
      </c>
      <c r="K52" s="2">
        <v>3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Y52" t="s">
        <v>31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</row>
    <row r="53" spans="1:31" x14ac:dyDescent="0.2">
      <c r="A53" t="s">
        <v>31</v>
      </c>
      <c r="B53">
        <v>3</v>
      </c>
      <c r="C53">
        <v>3</v>
      </c>
      <c r="D53">
        <v>4</v>
      </c>
      <c r="E53">
        <v>4</v>
      </c>
      <c r="F53">
        <v>4</v>
      </c>
      <c r="G53">
        <v>4</v>
      </c>
      <c r="J53" s="2" t="s">
        <v>31</v>
      </c>
      <c r="K53" s="2">
        <v>2</v>
      </c>
      <c r="L53" s="2">
        <v>2</v>
      </c>
      <c r="M53" s="2">
        <v>3</v>
      </c>
      <c r="N53" s="2">
        <v>3</v>
      </c>
      <c r="O53" s="2">
        <v>3</v>
      </c>
      <c r="P53" s="2">
        <v>3</v>
      </c>
      <c r="Y53" t="s">
        <v>31</v>
      </c>
      <c r="Z53">
        <v>3</v>
      </c>
      <c r="AA53">
        <v>3</v>
      </c>
      <c r="AB53">
        <v>4</v>
      </c>
      <c r="AC53">
        <v>4</v>
      </c>
      <c r="AD53">
        <v>4</v>
      </c>
      <c r="AE53">
        <v>4</v>
      </c>
    </row>
    <row r="54" spans="1:31" x14ac:dyDescent="0.2">
      <c r="A54" t="s">
        <v>31</v>
      </c>
      <c r="B54">
        <v>3</v>
      </c>
      <c r="C54">
        <v>4</v>
      </c>
      <c r="D54">
        <v>4</v>
      </c>
      <c r="E54">
        <v>4</v>
      </c>
      <c r="F54">
        <v>4</v>
      </c>
      <c r="G54">
        <v>4</v>
      </c>
      <c r="J54" s="2" t="s">
        <v>31</v>
      </c>
      <c r="K54" s="2">
        <v>2</v>
      </c>
      <c r="L54" s="2">
        <v>3</v>
      </c>
      <c r="M54" s="2">
        <v>3</v>
      </c>
      <c r="N54" s="2">
        <v>3</v>
      </c>
      <c r="O54" s="2">
        <v>3</v>
      </c>
      <c r="P54" s="2">
        <v>3</v>
      </c>
      <c r="Y54" t="s">
        <v>31</v>
      </c>
      <c r="Z54">
        <v>3</v>
      </c>
      <c r="AA54">
        <v>4</v>
      </c>
      <c r="AB54">
        <v>4</v>
      </c>
      <c r="AC54">
        <v>4</v>
      </c>
      <c r="AD54">
        <v>4</v>
      </c>
      <c r="AE54">
        <v>4</v>
      </c>
    </row>
    <row r="55" spans="1:31" x14ac:dyDescent="0.2">
      <c r="A55" t="s">
        <v>31</v>
      </c>
      <c r="B55">
        <v>3</v>
      </c>
      <c r="C55">
        <v>3</v>
      </c>
      <c r="D55">
        <v>4</v>
      </c>
      <c r="E55">
        <v>4</v>
      </c>
      <c r="F55">
        <v>4</v>
      </c>
      <c r="G55">
        <v>4</v>
      </c>
      <c r="J55" s="2" t="s">
        <v>31</v>
      </c>
      <c r="K55" s="2">
        <v>2</v>
      </c>
      <c r="L55" s="2">
        <v>2</v>
      </c>
      <c r="M55" s="2">
        <v>3</v>
      </c>
      <c r="N55" s="2">
        <v>3</v>
      </c>
      <c r="O55" s="2">
        <v>3</v>
      </c>
      <c r="P55" s="2">
        <v>3</v>
      </c>
      <c r="Y55" t="s">
        <v>31</v>
      </c>
      <c r="Z55">
        <v>3</v>
      </c>
      <c r="AA55">
        <v>3</v>
      </c>
      <c r="AB55">
        <v>4</v>
      </c>
      <c r="AC55">
        <v>4</v>
      </c>
      <c r="AD55">
        <v>4</v>
      </c>
      <c r="AE55">
        <v>4</v>
      </c>
    </row>
    <row r="56" spans="1:31" x14ac:dyDescent="0.2">
      <c r="A56" t="s">
        <v>31</v>
      </c>
      <c r="B56">
        <v>5</v>
      </c>
      <c r="C56">
        <v>4</v>
      </c>
      <c r="D56">
        <v>4</v>
      </c>
      <c r="E56">
        <v>3</v>
      </c>
      <c r="F56">
        <v>3</v>
      </c>
      <c r="G56">
        <v>4</v>
      </c>
      <c r="J56" s="2" t="s">
        <v>31</v>
      </c>
      <c r="K56" s="2">
        <v>3</v>
      </c>
      <c r="L56" s="2">
        <v>3</v>
      </c>
      <c r="M56" s="2">
        <v>3</v>
      </c>
      <c r="N56" s="2">
        <v>2</v>
      </c>
      <c r="O56" s="2">
        <v>2</v>
      </c>
      <c r="P56" s="2">
        <v>3</v>
      </c>
      <c r="Y56" t="s">
        <v>31</v>
      </c>
      <c r="Z56">
        <v>5</v>
      </c>
      <c r="AA56">
        <v>4</v>
      </c>
      <c r="AB56">
        <v>4</v>
      </c>
      <c r="AC56">
        <v>3</v>
      </c>
      <c r="AD56">
        <v>3</v>
      </c>
      <c r="AE56">
        <v>4</v>
      </c>
    </row>
    <row r="57" spans="1:31" x14ac:dyDescent="0.2">
      <c r="A57" t="s">
        <v>31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J57" s="2" t="s">
        <v>31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Y57" t="s">
        <v>31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</row>
    <row r="58" spans="1:31" x14ac:dyDescent="0.2">
      <c r="A58" t="s">
        <v>31</v>
      </c>
      <c r="B58">
        <v>4</v>
      </c>
      <c r="C58">
        <v>4</v>
      </c>
      <c r="D58">
        <v>5</v>
      </c>
      <c r="E58">
        <v>5</v>
      </c>
      <c r="F58">
        <v>2</v>
      </c>
      <c r="G58">
        <v>5</v>
      </c>
      <c r="J58" s="2" t="s">
        <v>31</v>
      </c>
      <c r="K58" s="2">
        <v>3</v>
      </c>
      <c r="L58" s="2">
        <v>3</v>
      </c>
      <c r="M58" s="2">
        <v>3</v>
      </c>
      <c r="N58" s="2">
        <v>3</v>
      </c>
      <c r="O58" s="2">
        <v>1</v>
      </c>
      <c r="P58" s="2">
        <v>3</v>
      </c>
      <c r="Y58" t="s">
        <v>31</v>
      </c>
      <c r="Z58">
        <v>4</v>
      </c>
      <c r="AA58">
        <v>4</v>
      </c>
      <c r="AB58">
        <v>5</v>
      </c>
      <c r="AC58">
        <v>5</v>
      </c>
      <c r="AD58">
        <v>2</v>
      </c>
      <c r="AE58">
        <v>5</v>
      </c>
    </row>
    <row r="59" spans="1:31" x14ac:dyDescent="0.2">
      <c r="A59" t="s">
        <v>31</v>
      </c>
      <c r="B59">
        <v>3</v>
      </c>
      <c r="C59">
        <v>3</v>
      </c>
      <c r="D59">
        <v>4</v>
      </c>
      <c r="E59">
        <v>3</v>
      </c>
      <c r="F59">
        <v>3</v>
      </c>
      <c r="G59">
        <v>4</v>
      </c>
      <c r="J59" s="2" t="s">
        <v>31</v>
      </c>
      <c r="K59" s="2">
        <v>2</v>
      </c>
      <c r="L59" s="2">
        <v>2</v>
      </c>
      <c r="M59" s="2">
        <v>3</v>
      </c>
      <c r="N59" s="2">
        <v>2</v>
      </c>
      <c r="O59" s="2">
        <v>2</v>
      </c>
      <c r="P59" s="2">
        <v>3</v>
      </c>
      <c r="Y59" t="s">
        <v>31</v>
      </c>
      <c r="Z59">
        <v>3</v>
      </c>
      <c r="AA59">
        <v>3</v>
      </c>
      <c r="AB59">
        <v>4</v>
      </c>
      <c r="AC59">
        <v>3</v>
      </c>
      <c r="AD59">
        <v>3</v>
      </c>
      <c r="AE59">
        <v>4</v>
      </c>
    </row>
    <row r="60" spans="1:31" x14ac:dyDescent="0.2">
      <c r="A60" t="s">
        <v>31</v>
      </c>
      <c r="B60">
        <v>4</v>
      </c>
      <c r="C60">
        <v>5</v>
      </c>
      <c r="D60">
        <v>5</v>
      </c>
      <c r="E60">
        <v>4</v>
      </c>
      <c r="F60">
        <v>4</v>
      </c>
      <c r="G60">
        <v>5</v>
      </c>
      <c r="J60" s="2" t="s">
        <v>31</v>
      </c>
      <c r="K60" s="2">
        <v>3</v>
      </c>
      <c r="L60" s="2">
        <v>3</v>
      </c>
      <c r="M60" s="2">
        <v>3</v>
      </c>
      <c r="N60" s="2">
        <v>3</v>
      </c>
      <c r="O60" s="2">
        <v>3</v>
      </c>
      <c r="P60" s="2">
        <v>3</v>
      </c>
      <c r="Y60" t="s">
        <v>31</v>
      </c>
      <c r="Z60">
        <v>4</v>
      </c>
      <c r="AA60">
        <v>5</v>
      </c>
      <c r="AB60">
        <v>5</v>
      </c>
      <c r="AC60">
        <v>4</v>
      </c>
      <c r="AD60">
        <v>4</v>
      </c>
      <c r="AE60">
        <v>5</v>
      </c>
    </row>
    <row r="61" spans="1:31" x14ac:dyDescent="0.2">
      <c r="A61" s="4" t="s">
        <v>50</v>
      </c>
      <c r="B61" s="5">
        <f>AVERAGE(B4:B60)</f>
        <v>3.7543859649122808</v>
      </c>
      <c r="C61" s="5">
        <f>AVERAGE(C4:C60)</f>
        <v>3.5964912280701755</v>
      </c>
      <c r="D61" s="5">
        <f t="shared" ref="D61:G61" si="0">AVERAGE(D4:D60)</f>
        <v>4.3157894736842106</v>
      </c>
      <c r="E61" s="5">
        <f>AVERAGE(E4:E60)</f>
        <v>3.8421052631578947</v>
      </c>
      <c r="F61" s="5">
        <f t="shared" si="0"/>
        <v>3.6491228070175437</v>
      </c>
      <c r="G61" s="5">
        <f t="shared" si="0"/>
        <v>4.3508771929824563</v>
      </c>
    </row>
    <row r="62" spans="1:31" x14ac:dyDescent="0.2">
      <c r="J62" s="2"/>
      <c r="K62" s="2" t="s">
        <v>5</v>
      </c>
      <c r="L62" s="2" t="s">
        <v>9</v>
      </c>
      <c r="M62" s="2" t="s">
        <v>41</v>
      </c>
      <c r="N62" s="2" t="s">
        <v>27</v>
      </c>
      <c r="O62" s="2" t="s">
        <v>28</v>
      </c>
      <c r="P62" s="2" t="s">
        <v>30</v>
      </c>
      <c r="X62" s="8"/>
      <c r="Y62" s="2" t="s">
        <v>46</v>
      </c>
      <c r="Z62" s="2" t="s">
        <v>34</v>
      </c>
      <c r="AA62" s="2" t="s">
        <v>38</v>
      </c>
      <c r="AB62" s="2" t="s">
        <v>38</v>
      </c>
      <c r="AC62" s="2" t="s">
        <v>38</v>
      </c>
      <c r="AD62" s="2" t="s">
        <v>38</v>
      </c>
      <c r="AE62" s="2" t="s">
        <v>38</v>
      </c>
    </row>
    <row r="63" spans="1:31" x14ac:dyDescent="0.2">
      <c r="I63" s="2" t="s">
        <v>53</v>
      </c>
      <c r="Z63" t="s">
        <v>40</v>
      </c>
      <c r="AA63" t="s">
        <v>9</v>
      </c>
      <c r="AB63" t="s">
        <v>41</v>
      </c>
      <c r="AC63" t="s">
        <v>27</v>
      </c>
      <c r="AD63" t="s">
        <v>28</v>
      </c>
      <c r="AE63" t="s">
        <v>30</v>
      </c>
    </row>
    <row r="64" spans="1:31" x14ac:dyDescent="0.2">
      <c r="B64" t="s">
        <v>40</v>
      </c>
      <c r="C64" t="s">
        <v>9</v>
      </c>
      <c r="D64" t="s">
        <v>41</v>
      </c>
      <c r="E64" t="s">
        <v>27</v>
      </c>
      <c r="F64" t="s">
        <v>28</v>
      </c>
      <c r="G64" t="s">
        <v>30</v>
      </c>
      <c r="I64">
        <v>1</v>
      </c>
      <c r="J64" t="s">
        <v>54</v>
      </c>
      <c r="K64">
        <f>COUNTIF(K$4:K$60,$I64)</f>
        <v>3</v>
      </c>
      <c r="L64">
        <f t="shared" ref="L64:O64" si="1">COUNTIF(L$4:L$60,$I64)</f>
        <v>5</v>
      </c>
      <c r="M64">
        <f t="shared" si="1"/>
        <v>0</v>
      </c>
      <c r="N64">
        <f t="shared" si="1"/>
        <v>0</v>
      </c>
      <c r="O64">
        <f t="shared" si="1"/>
        <v>4</v>
      </c>
      <c r="P64">
        <f>COUNTIF(P$4:P$60,$I64)</f>
        <v>0</v>
      </c>
      <c r="X64" s="8">
        <v>4</v>
      </c>
      <c r="Y64" t="s">
        <v>44</v>
      </c>
      <c r="Z64">
        <f>COUNTIF(Z$3:Z$59,$X64)</f>
        <v>25</v>
      </c>
      <c r="AA64">
        <f t="shared" ref="AA64:AE65" si="2">COUNTIF(AA$3:AA$59,$X64)</f>
        <v>25</v>
      </c>
      <c r="AB64">
        <f t="shared" si="2"/>
        <v>29</v>
      </c>
      <c r="AC64">
        <f t="shared" si="2"/>
        <v>23</v>
      </c>
      <c r="AD64">
        <f t="shared" si="2"/>
        <v>28</v>
      </c>
      <c r="AE64">
        <f t="shared" si="2"/>
        <v>29</v>
      </c>
    </row>
    <row r="65" spans="1:31" x14ac:dyDescent="0.2">
      <c r="A65" s="4" t="s">
        <v>52</v>
      </c>
      <c r="B65" s="5">
        <f>AVERAGE(B4,B16:B22)</f>
        <v>4.125</v>
      </c>
      <c r="C65" s="5">
        <f t="shared" ref="C65:G65" si="3">AVERAGE(C4,C16:C22)</f>
        <v>3.5</v>
      </c>
      <c r="D65" s="5">
        <f t="shared" si="3"/>
        <v>4.375</v>
      </c>
      <c r="E65" s="5">
        <f t="shared" si="3"/>
        <v>4</v>
      </c>
      <c r="F65" s="5">
        <f t="shared" si="3"/>
        <v>3.75</v>
      </c>
      <c r="G65" s="5">
        <f t="shared" si="3"/>
        <v>4.25</v>
      </c>
      <c r="I65">
        <v>2</v>
      </c>
      <c r="J65" t="s">
        <v>55</v>
      </c>
      <c r="K65">
        <f t="shared" ref="K65:P66" si="4">COUNTIF(K$4:K$60,$I65)</f>
        <v>18</v>
      </c>
      <c r="L65">
        <f t="shared" si="4"/>
        <v>20</v>
      </c>
      <c r="M65">
        <f t="shared" si="4"/>
        <v>5</v>
      </c>
      <c r="N65">
        <f t="shared" si="4"/>
        <v>21</v>
      </c>
      <c r="O65">
        <f t="shared" si="4"/>
        <v>18</v>
      </c>
      <c r="P65">
        <f t="shared" si="4"/>
        <v>4</v>
      </c>
      <c r="X65" s="8">
        <v>5</v>
      </c>
      <c r="Y65" t="s">
        <v>45</v>
      </c>
      <c r="Z65">
        <f>COUNTIF(Z$3:Z$59,$X65)</f>
        <v>10</v>
      </c>
      <c r="AA65">
        <f t="shared" si="2"/>
        <v>6</v>
      </c>
      <c r="AB65">
        <f t="shared" si="2"/>
        <v>22</v>
      </c>
      <c r="AC65">
        <f t="shared" si="2"/>
        <v>12</v>
      </c>
      <c r="AD65">
        <f t="shared" si="2"/>
        <v>6</v>
      </c>
      <c r="AE65">
        <f t="shared" si="2"/>
        <v>23</v>
      </c>
    </row>
    <row r="66" spans="1:31" x14ac:dyDescent="0.2">
      <c r="I66">
        <v>3</v>
      </c>
      <c r="J66" t="s">
        <v>56</v>
      </c>
      <c r="K66">
        <f t="shared" si="4"/>
        <v>36</v>
      </c>
      <c r="L66">
        <f t="shared" si="4"/>
        <v>32</v>
      </c>
      <c r="M66">
        <f t="shared" si="4"/>
        <v>52</v>
      </c>
      <c r="N66">
        <f t="shared" si="4"/>
        <v>36</v>
      </c>
      <c r="O66">
        <f t="shared" si="4"/>
        <v>35</v>
      </c>
      <c r="P66">
        <f>COUNTIF(P$4:P$60,$I66)</f>
        <v>53</v>
      </c>
      <c r="X66" s="8"/>
      <c r="Y66" s="9" t="s">
        <v>57</v>
      </c>
      <c r="Z66" s="9">
        <f>SUM(Z64:Z65)</f>
        <v>35</v>
      </c>
      <c r="AA66" s="9">
        <f t="shared" ref="AA66:AE66" si="5">SUM(AA64:AA65)</f>
        <v>31</v>
      </c>
      <c r="AB66" s="9">
        <f t="shared" si="5"/>
        <v>51</v>
      </c>
      <c r="AC66" s="9">
        <f t="shared" si="5"/>
        <v>35</v>
      </c>
      <c r="AD66" s="9">
        <f t="shared" si="5"/>
        <v>34</v>
      </c>
      <c r="AE66" s="9">
        <f t="shared" si="5"/>
        <v>52</v>
      </c>
    </row>
    <row r="67" spans="1:31" x14ac:dyDescent="0.2">
      <c r="B67" t="s">
        <v>40</v>
      </c>
      <c r="C67" t="s">
        <v>9</v>
      </c>
      <c r="D67" t="s">
        <v>41</v>
      </c>
      <c r="E67" t="s">
        <v>27</v>
      </c>
      <c r="F67" t="s">
        <v>28</v>
      </c>
      <c r="G67" t="s">
        <v>30</v>
      </c>
      <c r="K67" s="2" t="s">
        <v>40</v>
      </c>
      <c r="L67" s="2" t="s">
        <v>9</v>
      </c>
      <c r="M67" s="2" t="s">
        <v>41</v>
      </c>
      <c r="N67" s="2" t="s">
        <v>27</v>
      </c>
      <c r="O67" s="2" t="s">
        <v>28</v>
      </c>
      <c r="P67" s="2" t="s">
        <v>30</v>
      </c>
      <c r="Y67" s="10" t="s">
        <v>58</v>
      </c>
      <c r="Z67" s="11">
        <f>Z66/57</f>
        <v>0.61403508771929827</v>
      </c>
      <c r="AA67" s="11">
        <f t="shared" ref="AA67:AE67" si="6">AA66/57</f>
        <v>0.54385964912280704</v>
      </c>
      <c r="AB67" s="11">
        <f t="shared" si="6"/>
        <v>0.89473684210526316</v>
      </c>
      <c r="AC67" s="11">
        <f t="shared" si="6"/>
        <v>0.61403508771929827</v>
      </c>
      <c r="AD67" s="11">
        <f t="shared" si="6"/>
        <v>0.59649122807017541</v>
      </c>
      <c r="AE67" s="11">
        <f t="shared" si="6"/>
        <v>0.91228070175438591</v>
      </c>
    </row>
    <row r="68" spans="1:31" x14ac:dyDescent="0.2">
      <c r="A68" s="4" t="s">
        <v>32</v>
      </c>
      <c r="B68" s="5">
        <f>AVERAGE(B5:B15)</f>
        <v>3.6363636363636362</v>
      </c>
      <c r="C68" s="5">
        <f t="shared" ref="C68:G68" si="7">AVERAGE(C5:C15)</f>
        <v>3.4545454545454546</v>
      </c>
      <c r="D68" s="5">
        <f t="shared" si="7"/>
        <v>4.1818181818181817</v>
      </c>
      <c r="E68" s="5">
        <f t="shared" si="7"/>
        <v>3.8181818181818183</v>
      </c>
      <c r="F68" s="5">
        <f t="shared" si="7"/>
        <v>3.5454545454545454</v>
      </c>
      <c r="G68" s="5">
        <f t="shared" si="7"/>
        <v>4.5454545454545459</v>
      </c>
      <c r="J68" s="3" t="s">
        <v>54</v>
      </c>
      <c r="K68" s="6">
        <f>K64/57</f>
        <v>5.2631578947368418E-2</v>
      </c>
      <c r="L68" s="6">
        <f t="shared" ref="L68:P68" si="8">L64/57</f>
        <v>8.771929824561403E-2</v>
      </c>
      <c r="M68" s="6">
        <f t="shared" si="8"/>
        <v>0</v>
      </c>
      <c r="N68" s="6">
        <f t="shared" si="8"/>
        <v>0</v>
      </c>
      <c r="O68" s="6">
        <f t="shared" si="8"/>
        <v>7.0175438596491224E-2</v>
      </c>
      <c r="P68" s="6">
        <f t="shared" si="8"/>
        <v>0</v>
      </c>
    </row>
    <row r="69" spans="1:31" x14ac:dyDescent="0.2">
      <c r="J69" s="3" t="s">
        <v>55</v>
      </c>
      <c r="K69" s="6">
        <f t="shared" ref="K69:P70" si="9">K65/57</f>
        <v>0.31578947368421051</v>
      </c>
      <c r="L69" s="6">
        <f t="shared" si="9"/>
        <v>0.35087719298245612</v>
      </c>
      <c r="M69" s="6">
        <f t="shared" si="9"/>
        <v>8.771929824561403E-2</v>
      </c>
      <c r="N69" s="6">
        <f t="shared" si="9"/>
        <v>0.36842105263157893</v>
      </c>
      <c r="O69" s="6">
        <f t="shared" si="9"/>
        <v>0.31578947368421051</v>
      </c>
      <c r="P69" s="6">
        <f t="shared" si="9"/>
        <v>7.0175438596491224E-2</v>
      </c>
      <c r="Y69" s="2" t="s">
        <v>33</v>
      </c>
      <c r="Z69" s="2" t="s">
        <v>34</v>
      </c>
      <c r="AA69" s="2" t="s">
        <v>38</v>
      </c>
      <c r="AB69" s="2" t="s">
        <v>38</v>
      </c>
      <c r="AC69" s="2" t="s">
        <v>38</v>
      </c>
      <c r="AD69" s="2" t="s">
        <v>38</v>
      </c>
      <c r="AE69" s="2" t="s">
        <v>38</v>
      </c>
    </row>
    <row r="70" spans="1:31" x14ac:dyDescent="0.2">
      <c r="B70" t="s">
        <v>40</v>
      </c>
      <c r="C70" t="s">
        <v>9</v>
      </c>
      <c r="D70" t="s">
        <v>41</v>
      </c>
      <c r="E70" t="s">
        <v>27</v>
      </c>
      <c r="F70" t="s">
        <v>28</v>
      </c>
      <c r="G70" t="s">
        <v>30</v>
      </c>
      <c r="J70" s="3" t="s">
        <v>56</v>
      </c>
      <c r="K70" s="6">
        <f t="shared" si="9"/>
        <v>0.63157894736842102</v>
      </c>
      <c r="L70" s="6">
        <f t="shared" si="9"/>
        <v>0.56140350877192979</v>
      </c>
      <c r="M70" s="6">
        <f t="shared" si="9"/>
        <v>0.91228070175438591</v>
      </c>
      <c r="N70" s="6">
        <f t="shared" si="9"/>
        <v>0.63157894736842102</v>
      </c>
      <c r="O70" s="6">
        <f t="shared" si="9"/>
        <v>0.61403508771929827</v>
      </c>
      <c r="P70" s="6">
        <f t="shared" si="9"/>
        <v>0.92982456140350878</v>
      </c>
      <c r="X70" s="8"/>
      <c r="Z70" t="s">
        <v>40</v>
      </c>
      <c r="AA70" t="s">
        <v>9</v>
      </c>
      <c r="AB70" t="s">
        <v>41</v>
      </c>
      <c r="AC70" t="s">
        <v>27</v>
      </c>
      <c r="AD70" t="s">
        <v>28</v>
      </c>
      <c r="AE70" t="s">
        <v>30</v>
      </c>
    </row>
    <row r="71" spans="1:31" x14ac:dyDescent="0.2">
      <c r="A71" s="4" t="s">
        <v>31</v>
      </c>
      <c r="B71" s="5">
        <f>AVERAGE(B23:B60)</f>
        <v>3.7105263157894739</v>
      </c>
      <c r="C71" s="5">
        <f t="shared" ref="C71:G71" si="10">AVERAGE(C23:C60)</f>
        <v>3.6578947368421053</v>
      </c>
      <c r="D71" s="5">
        <f t="shared" si="10"/>
        <v>4.3421052631578947</v>
      </c>
      <c r="E71" s="5">
        <f t="shared" si="10"/>
        <v>3.8157894736842106</v>
      </c>
      <c r="F71" s="5">
        <f t="shared" si="10"/>
        <v>3.6578947368421053</v>
      </c>
      <c r="G71" s="5">
        <f t="shared" si="10"/>
        <v>4.3157894736842106</v>
      </c>
      <c r="X71" s="8">
        <v>4</v>
      </c>
      <c r="Y71" t="s">
        <v>44</v>
      </c>
      <c r="Z71">
        <f>COUNTIFS(Z$4:Z$60,$X71,$Y4:$Y60,$Y$69)</f>
        <v>5</v>
      </c>
      <c r="AA71">
        <f t="shared" ref="AA71:AE71" si="11">COUNTIFS(AA$4:AA$60,$X71,$Y4:$Y60,$Y$69)</f>
        <v>3</v>
      </c>
      <c r="AB71">
        <f t="shared" si="11"/>
        <v>5</v>
      </c>
      <c r="AC71">
        <f t="shared" si="11"/>
        <v>4</v>
      </c>
      <c r="AD71">
        <f t="shared" si="11"/>
        <v>4</v>
      </c>
      <c r="AE71">
        <f t="shared" si="11"/>
        <v>6</v>
      </c>
    </row>
    <row r="72" spans="1:31" x14ac:dyDescent="0.2">
      <c r="I72" s="2" t="s">
        <v>33</v>
      </c>
      <c r="X72" s="8">
        <v>5</v>
      </c>
      <c r="Y72" t="s">
        <v>45</v>
      </c>
      <c r="Z72">
        <f>COUNTIFS(Z$4:Z$60,$X72,$Y5:$Y61,$Y$69)</f>
        <v>2</v>
      </c>
      <c r="AA72">
        <f t="shared" ref="AA72:AE72" si="12">COUNTIFS(AA$4:AA$60,$X72,$Y5:$Y61,$Y$69)</f>
        <v>1</v>
      </c>
      <c r="AB72">
        <f t="shared" si="12"/>
        <v>2</v>
      </c>
      <c r="AC72">
        <f t="shared" si="12"/>
        <v>2</v>
      </c>
      <c r="AD72">
        <f t="shared" si="12"/>
        <v>1</v>
      </c>
      <c r="AE72">
        <f t="shared" si="12"/>
        <v>2</v>
      </c>
    </row>
    <row r="73" spans="1:31" x14ac:dyDescent="0.2">
      <c r="I73">
        <v>1</v>
      </c>
      <c r="J73" t="s">
        <v>54</v>
      </c>
      <c r="K73">
        <f>COUNTIFS(K$4:K$60,$I73,$J$4:$J$60,$I$72)</f>
        <v>0</v>
      </c>
      <c r="L73">
        <f t="shared" ref="L73:P73" si="13">COUNTIFS(L$4:L$60,$I73,$J$4:$J$60,$I$72)</f>
        <v>1</v>
      </c>
      <c r="M73">
        <f t="shared" si="13"/>
        <v>0</v>
      </c>
      <c r="N73">
        <f t="shared" si="13"/>
        <v>0</v>
      </c>
      <c r="O73">
        <f t="shared" si="13"/>
        <v>0</v>
      </c>
      <c r="P73">
        <f t="shared" si="13"/>
        <v>0</v>
      </c>
      <c r="X73" s="8"/>
      <c r="Y73" s="9" t="s">
        <v>57</v>
      </c>
      <c r="Z73" s="9">
        <f>SUM(Z71:Z72)</f>
        <v>7</v>
      </c>
      <c r="AA73" s="9">
        <f t="shared" ref="AA73:AE73" si="14">SUM(AA71:AA72)</f>
        <v>4</v>
      </c>
      <c r="AB73" s="9">
        <f t="shared" si="14"/>
        <v>7</v>
      </c>
      <c r="AC73" s="9">
        <f t="shared" si="14"/>
        <v>6</v>
      </c>
      <c r="AD73" s="9">
        <f t="shared" si="14"/>
        <v>5</v>
      </c>
      <c r="AE73" s="9">
        <f t="shared" si="14"/>
        <v>8</v>
      </c>
    </row>
    <row r="74" spans="1:31" x14ac:dyDescent="0.2">
      <c r="I74">
        <v>2</v>
      </c>
      <c r="J74" t="s">
        <v>55</v>
      </c>
      <c r="K74">
        <f t="shared" ref="K74:P75" si="15">COUNTIFS(K$4:K$60,$I74,$J$4:$J$60,$I$72)</f>
        <v>1</v>
      </c>
      <c r="L74">
        <f t="shared" si="15"/>
        <v>3</v>
      </c>
      <c r="M74">
        <f t="shared" si="15"/>
        <v>0</v>
      </c>
      <c r="N74">
        <f t="shared" si="15"/>
        <v>2</v>
      </c>
      <c r="O74">
        <f t="shared" si="15"/>
        <v>3</v>
      </c>
      <c r="P74">
        <f t="shared" si="15"/>
        <v>0</v>
      </c>
      <c r="X74" s="8"/>
      <c r="Y74" s="10" t="s">
        <v>59</v>
      </c>
      <c r="Z74" s="11">
        <f>Z73/8</f>
        <v>0.875</v>
      </c>
      <c r="AA74" s="11">
        <f t="shared" ref="AA74:AE74" si="16">AA73/8</f>
        <v>0.5</v>
      </c>
      <c r="AB74" s="11">
        <f t="shared" si="16"/>
        <v>0.875</v>
      </c>
      <c r="AC74" s="11">
        <f t="shared" si="16"/>
        <v>0.75</v>
      </c>
      <c r="AD74" s="11">
        <f t="shared" si="16"/>
        <v>0.625</v>
      </c>
      <c r="AE74" s="11">
        <f t="shared" si="16"/>
        <v>1</v>
      </c>
    </row>
    <row r="75" spans="1:31" x14ac:dyDescent="0.2">
      <c r="A75" t="s">
        <v>52</v>
      </c>
      <c r="I75">
        <v>3</v>
      </c>
      <c r="J75" t="s">
        <v>56</v>
      </c>
      <c r="K75">
        <f t="shared" si="15"/>
        <v>7</v>
      </c>
      <c r="L75">
        <f t="shared" si="15"/>
        <v>4</v>
      </c>
      <c r="M75">
        <f t="shared" si="15"/>
        <v>8</v>
      </c>
      <c r="N75">
        <f t="shared" si="15"/>
        <v>6</v>
      </c>
      <c r="O75">
        <f t="shared" si="15"/>
        <v>5</v>
      </c>
      <c r="P75">
        <f t="shared" si="15"/>
        <v>8</v>
      </c>
      <c r="X75" s="8"/>
    </row>
    <row r="76" spans="1:31" x14ac:dyDescent="0.2">
      <c r="K76" s="2" t="s">
        <v>40</v>
      </c>
      <c r="L76" s="2" t="s">
        <v>9</v>
      </c>
      <c r="M76" s="2" t="s">
        <v>41</v>
      </c>
      <c r="N76" s="2" t="s">
        <v>27</v>
      </c>
      <c r="O76" s="2" t="s">
        <v>28</v>
      </c>
      <c r="P76" s="2" t="s">
        <v>30</v>
      </c>
      <c r="X76" s="8"/>
      <c r="Y76" s="2" t="s">
        <v>32</v>
      </c>
      <c r="Z76" s="2" t="s">
        <v>34</v>
      </c>
      <c r="AA76" s="2" t="s">
        <v>38</v>
      </c>
      <c r="AB76" s="2" t="s">
        <v>38</v>
      </c>
      <c r="AC76" s="2" t="s">
        <v>38</v>
      </c>
      <c r="AD76" s="2" t="s">
        <v>38</v>
      </c>
      <c r="AE76" s="2" t="s">
        <v>38</v>
      </c>
    </row>
    <row r="77" spans="1:31" x14ac:dyDescent="0.2">
      <c r="J77" s="3" t="s">
        <v>54</v>
      </c>
      <c r="K77" s="6">
        <f>K73/8</f>
        <v>0</v>
      </c>
      <c r="L77" s="6">
        <f t="shared" ref="L77:P77" si="17">L73/8</f>
        <v>0.125</v>
      </c>
      <c r="M77" s="6">
        <f t="shared" si="17"/>
        <v>0</v>
      </c>
      <c r="N77" s="6">
        <f t="shared" si="17"/>
        <v>0</v>
      </c>
      <c r="O77" s="6">
        <f t="shared" si="17"/>
        <v>0</v>
      </c>
      <c r="P77" s="6">
        <f t="shared" si="17"/>
        <v>0</v>
      </c>
      <c r="X77" s="8"/>
      <c r="Z77" t="s">
        <v>40</v>
      </c>
      <c r="AA77" t="s">
        <v>9</v>
      </c>
      <c r="AB77" t="s">
        <v>41</v>
      </c>
      <c r="AC77" t="s">
        <v>27</v>
      </c>
      <c r="AD77" t="s">
        <v>28</v>
      </c>
      <c r="AE77" t="s">
        <v>30</v>
      </c>
    </row>
    <row r="78" spans="1:31" x14ac:dyDescent="0.2">
      <c r="J78" s="3" t="s">
        <v>55</v>
      </c>
      <c r="K78" s="6">
        <f t="shared" ref="K78:P79" si="18">K74/8</f>
        <v>0.125</v>
      </c>
      <c r="L78" s="6">
        <f t="shared" si="18"/>
        <v>0.375</v>
      </c>
      <c r="M78" s="6">
        <f t="shared" si="18"/>
        <v>0</v>
      </c>
      <c r="N78" s="6">
        <f t="shared" si="18"/>
        <v>0.25</v>
      </c>
      <c r="O78" s="6">
        <f t="shared" si="18"/>
        <v>0.375</v>
      </c>
      <c r="P78" s="6">
        <f t="shared" si="18"/>
        <v>0</v>
      </c>
      <c r="X78" s="8">
        <v>4</v>
      </c>
      <c r="Y78" t="s">
        <v>44</v>
      </c>
      <c r="Z78">
        <f>COUNTIFS(Z$4:Z$60,$X78,$Y4:$Y60,$Y$76)</f>
        <v>7</v>
      </c>
      <c r="AA78">
        <f t="shared" ref="AA78:AD78" si="19">COUNTIFS(AA$4:AA$60,$X78,$Y4:$Y60,$Y$76)</f>
        <v>5</v>
      </c>
      <c r="AB78">
        <f t="shared" si="19"/>
        <v>7</v>
      </c>
      <c r="AC78">
        <f t="shared" si="19"/>
        <v>7</v>
      </c>
      <c r="AD78">
        <f t="shared" si="19"/>
        <v>5</v>
      </c>
      <c r="AE78">
        <f>COUNTIFS(AE$4:AE$60,$X78,$Y4:$Y60,$Y$76)</f>
        <v>5</v>
      </c>
    </row>
    <row r="79" spans="1:31" x14ac:dyDescent="0.2">
      <c r="J79" s="3" t="s">
        <v>56</v>
      </c>
      <c r="K79" s="6">
        <f t="shared" si="18"/>
        <v>0.875</v>
      </c>
      <c r="L79" s="6">
        <f t="shared" si="18"/>
        <v>0.5</v>
      </c>
      <c r="M79" s="6">
        <f t="shared" si="18"/>
        <v>1</v>
      </c>
      <c r="N79" s="6">
        <f t="shared" si="18"/>
        <v>0.75</v>
      </c>
      <c r="O79" s="6">
        <f t="shared" si="18"/>
        <v>0.625</v>
      </c>
      <c r="P79" s="6">
        <f t="shared" si="18"/>
        <v>1</v>
      </c>
      <c r="X79" s="8">
        <v>5</v>
      </c>
      <c r="Y79" t="s">
        <v>45</v>
      </c>
      <c r="Z79">
        <f>COUNTIFS(Z$4:Z$60,$X79,$Y4:$Y60,$Y$76)</f>
        <v>0</v>
      </c>
      <c r="AA79">
        <f t="shared" ref="AA79:AE79" si="20">COUNTIFS(AA$4:AA$60,$X79,$Y4:$Y60,$Y$76)</f>
        <v>1</v>
      </c>
      <c r="AB79">
        <f t="shared" si="20"/>
        <v>3</v>
      </c>
      <c r="AC79">
        <f t="shared" si="20"/>
        <v>1</v>
      </c>
      <c r="AD79">
        <f t="shared" si="20"/>
        <v>1</v>
      </c>
      <c r="AE79">
        <f t="shared" si="20"/>
        <v>6</v>
      </c>
    </row>
    <row r="80" spans="1:31" x14ac:dyDescent="0.2">
      <c r="X80" s="8"/>
      <c r="Y80" s="9" t="s">
        <v>57</v>
      </c>
      <c r="Z80" s="9">
        <f>SUM(Z78:Z79)</f>
        <v>7</v>
      </c>
      <c r="AA80" s="9">
        <f t="shared" ref="AA80" si="21">SUM(AA78:AA79)</f>
        <v>6</v>
      </c>
      <c r="AB80" s="9">
        <f t="shared" ref="AB80" si="22">SUM(AB78:AB79)</f>
        <v>10</v>
      </c>
      <c r="AC80" s="9">
        <f t="shared" ref="AC80" si="23">SUM(AC78:AC79)</f>
        <v>8</v>
      </c>
      <c r="AD80" s="9">
        <f t="shared" ref="AD80" si="24">SUM(AD78:AD79)</f>
        <v>6</v>
      </c>
      <c r="AE80" s="9">
        <f t="shared" ref="AE80" si="25">SUM(AE78:AE79)</f>
        <v>11</v>
      </c>
    </row>
    <row r="81" spans="1:31" x14ac:dyDescent="0.2">
      <c r="I81" s="2" t="s">
        <v>32</v>
      </c>
      <c r="X81" s="8"/>
      <c r="Y81" s="10" t="s">
        <v>60</v>
      </c>
      <c r="Z81" s="11">
        <f>Z80/11</f>
        <v>0.63636363636363635</v>
      </c>
      <c r="AA81" s="11">
        <f t="shared" ref="AA81:AE81" si="26">AA80/11</f>
        <v>0.54545454545454541</v>
      </c>
      <c r="AB81" s="11">
        <f t="shared" si="26"/>
        <v>0.90909090909090906</v>
      </c>
      <c r="AC81" s="11">
        <f t="shared" si="26"/>
        <v>0.72727272727272729</v>
      </c>
      <c r="AD81" s="11">
        <f t="shared" si="26"/>
        <v>0.54545454545454541</v>
      </c>
      <c r="AE81" s="11">
        <f t="shared" si="26"/>
        <v>1</v>
      </c>
    </row>
    <row r="82" spans="1:31" x14ac:dyDescent="0.2">
      <c r="I82">
        <v>1</v>
      </c>
      <c r="J82" t="s">
        <v>54</v>
      </c>
      <c r="K82">
        <f>COUNTIFS(K$4:K$60,$I82,$J$4:$J$60,$I$81)</f>
        <v>0</v>
      </c>
      <c r="L82">
        <f t="shared" ref="L82:P82" si="27">COUNTIFS(L$4:L$60,$I82,$J$4:$J$60,$I$81)</f>
        <v>2</v>
      </c>
      <c r="M82">
        <f t="shared" si="27"/>
        <v>0</v>
      </c>
      <c r="N82">
        <f t="shared" si="27"/>
        <v>0</v>
      </c>
      <c r="O82">
        <f t="shared" si="27"/>
        <v>1</v>
      </c>
      <c r="P82">
        <f t="shared" si="27"/>
        <v>0</v>
      </c>
      <c r="X82" s="8"/>
    </row>
    <row r="83" spans="1:31" x14ac:dyDescent="0.2">
      <c r="I83">
        <v>2</v>
      </c>
      <c r="J83" t="s">
        <v>55</v>
      </c>
      <c r="K83">
        <f t="shared" ref="K83:P84" si="28">COUNTIFS(K$4:K$60,$I83,$J$4:$J$60,$I$81)</f>
        <v>4</v>
      </c>
      <c r="L83">
        <f t="shared" si="28"/>
        <v>3</v>
      </c>
      <c r="M83">
        <f t="shared" si="28"/>
        <v>1</v>
      </c>
      <c r="N83">
        <f t="shared" si="28"/>
        <v>3</v>
      </c>
      <c r="O83">
        <f t="shared" si="28"/>
        <v>4</v>
      </c>
      <c r="P83">
        <f t="shared" si="28"/>
        <v>0</v>
      </c>
      <c r="X83" s="8"/>
      <c r="Y83" s="2" t="s">
        <v>31</v>
      </c>
      <c r="Z83" s="2" t="s">
        <v>34</v>
      </c>
      <c r="AA83" s="2" t="s">
        <v>38</v>
      </c>
      <c r="AB83" s="2" t="s">
        <v>38</v>
      </c>
      <c r="AC83" s="2" t="s">
        <v>38</v>
      </c>
      <c r="AD83" s="2" t="s">
        <v>38</v>
      </c>
      <c r="AE83" s="2" t="s">
        <v>38</v>
      </c>
    </row>
    <row r="84" spans="1:31" x14ac:dyDescent="0.2">
      <c r="I84">
        <v>3</v>
      </c>
      <c r="J84" t="s">
        <v>56</v>
      </c>
      <c r="K84">
        <f t="shared" si="28"/>
        <v>7</v>
      </c>
      <c r="L84">
        <f t="shared" si="28"/>
        <v>6</v>
      </c>
      <c r="M84">
        <f t="shared" si="28"/>
        <v>10</v>
      </c>
      <c r="N84">
        <f t="shared" si="28"/>
        <v>8</v>
      </c>
      <c r="O84">
        <f t="shared" si="28"/>
        <v>6</v>
      </c>
      <c r="P84">
        <f t="shared" si="28"/>
        <v>11</v>
      </c>
      <c r="X84" s="8"/>
      <c r="Z84" t="s">
        <v>40</v>
      </c>
      <c r="AA84" t="s">
        <v>9</v>
      </c>
      <c r="AB84" t="s">
        <v>41</v>
      </c>
      <c r="AC84" t="s">
        <v>27</v>
      </c>
      <c r="AD84" t="s">
        <v>28</v>
      </c>
      <c r="AE84" t="s">
        <v>30</v>
      </c>
    </row>
    <row r="85" spans="1:31" x14ac:dyDescent="0.2">
      <c r="K85" s="2" t="s">
        <v>40</v>
      </c>
      <c r="L85" s="2" t="s">
        <v>9</v>
      </c>
      <c r="M85" s="2" t="s">
        <v>41</v>
      </c>
      <c r="N85" s="2" t="s">
        <v>27</v>
      </c>
      <c r="O85" s="2" t="s">
        <v>28</v>
      </c>
      <c r="P85" s="2" t="s">
        <v>30</v>
      </c>
      <c r="X85" s="8">
        <v>4</v>
      </c>
      <c r="Y85" t="s">
        <v>44</v>
      </c>
      <c r="Z85">
        <f>COUNTIFS(Z$4:Z$60,$X85,$Y4:$Y60,$Y$83)</f>
        <v>14</v>
      </c>
      <c r="AA85">
        <f t="shared" ref="AA85:AE85" si="29">COUNTIFS(AA$4:AA$60,$X85,$Y4:$Y60,$Y$83)</f>
        <v>17</v>
      </c>
      <c r="AB85">
        <f t="shared" si="29"/>
        <v>17</v>
      </c>
      <c r="AC85">
        <f t="shared" si="29"/>
        <v>13</v>
      </c>
      <c r="AD85">
        <f t="shared" si="29"/>
        <v>20</v>
      </c>
      <c r="AE85">
        <f t="shared" si="29"/>
        <v>18</v>
      </c>
    </row>
    <row r="86" spans="1:31" x14ac:dyDescent="0.2">
      <c r="J86" s="3" t="s">
        <v>54</v>
      </c>
      <c r="K86" s="6">
        <f>K82/11</f>
        <v>0</v>
      </c>
      <c r="L86" s="6">
        <f t="shared" ref="L86:P86" si="30">L82/11</f>
        <v>0.18181818181818182</v>
      </c>
      <c r="M86" s="6">
        <f t="shared" si="30"/>
        <v>0</v>
      </c>
      <c r="N86" s="6">
        <f t="shared" si="30"/>
        <v>0</v>
      </c>
      <c r="O86" s="6">
        <f t="shared" si="30"/>
        <v>9.0909090909090912E-2</v>
      </c>
      <c r="P86" s="6">
        <f t="shared" si="30"/>
        <v>0</v>
      </c>
      <c r="X86" s="8">
        <v>5</v>
      </c>
      <c r="Y86" t="s">
        <v>45</v>
      </c>
      <c r="Z86">
        <f>COUNTIFS(Z$4:Z$60,$X86,$Y5:$Y61,$Y$83)</f>
        <v>8</v>
      </c>
      <c r="AA86">
        <f t="shared" ref="AA86:AE86" si="31">COUNTIFS(AA$4:AA$60,$X86,$Y5:$Y61,$Y$83)</f>
        <v>4</v>
      </c>
      <c r="AB86">
        <f t="shared" si="31"/>
        <v>16</v>
      </c>
      <c r="AC86">
        <f t="shared" si="31"/>
        <v>9</v>
      </c>
      <c r="AD86">
        <f t="shared" si="31"/>
        <v>4</v>
      </c>
      <c r="AE86">
        <f t="shared" si="31"/>
        <v>15</v>
      </c>
    </row>
    <row r="87" spans="1:31" x14ac:dyDescent="0.2">
      <c r="J87" s="3" t="s">
        <v>55</v>
      </c>
      <c r="K87" s="6">
        <f t="shared" ref="K87:P88" si="32">K83/11</f>
        <v>0.36363636363636365</v>
      </c>
      <c r="L87" s="6">
        <f t="shared" si="32"/>
        <v>0.27272727272727271</v>
      </c>
      <c r="M87" s="6">
        <f t="shared" si="32"/>
        <v>9.0909090909090912E-2</v>
      </c>
      <c r="N87" s="6">
        <f t="shared" si="32"/>
        <v>0.27272727272727271</v>
      </c>
      <c r="O87" s="6">
        <f t="shared" si="32"/>
        <v>0.36363636363636365</v>
      </c>
      <c r="P87" s="6">
        <f t="shared" si="32"/>
        <v>0</v>
      </c>
      <c r="X87" s="8"/>
      <c r="Y87" s="9" t="s">
        <v>57</v>
      </c>
      <c r="Z87" s="9">
        <f>SUM(Z85:Z86)</f>
        <v>22</v>
      </c>
      <c r="AA87" s="9">
        <f t="shared" ref="AA87" si="33">SUM(AA85:AA86)</f>
        <v>21</v>
      </c>
      <c r="AB87" s="9">
        <f t="shared" ref="AB87" si="34">SUM(AB85:AB86)</f>
        <v>33</v>
      </c>
      <c r="AC87" s="9">
        <f t="shared" ref="AC87" si="35">SUM(AC85:AC86)</f>
        <v>22</v>
      </c>
      <c r="AD87" s="9">
        <f t="shared" ref="AD87" si="36">SUM(AD85:AD86)</f>
        <v>24</v>
      </c>
      <c r="AE87" s="9">
        <f t="shared" ref="AE87" si="37">SUM(AE85:AE86)</f>
        <v>33</v>
      </c>
    </row>
    <row r="88" spans="1:31" x14ac:dyDescent="0.2">
      <c r="J88" s="3" t="s">
        <v>56</v>
      </c>
      <c r="K88" s="6">
        <f t="shared" si="32"/>
        <v>0.63636363636363635</v>
      </c>
      <c r="L88" s="6">
        <f t="shared" si="32"/>
        <v>0.54545454545454541</v>
      </c>
      <c r="M88" s="6">
        <f t="shared" si="32"/>
        <v>0.90909090909090906</v>
      </c>
      <c r="N88" s="6">
        <f t="shared" si="32"/>
        <v>0.72727272727272729</v>
      </c>
      <c r="O88" s="6">
        <f t="shared" si="32"/>
        <v>0.54545454545454541</v>
      </c>
      <c r="P88" s="6">
        <f t="shared" si="32"/>
        <v>1</v>
      </c>
      <c r="Y88" s="10" t="s">
        <v>61</v>
      </c>
      <c r="Z88" s="11">
        <f>Z87/38</f>
        <v>0.57894736842105265</v>
      </c>
      <c r="AA88" s="11">
        <f t="shared" ref="AA88:AE88" si="38">AA87/38</f>
        <v>0.55263157894736847</v>
      </c>
      <c r="AB88" s="11">
        <f t="shared" si="38"/>
        <v>0.86842105263157898</v>
      </c>
      <c r="AC88" s="11">
        <f t="shared" si="38"/>
        <v>0.57894736842105265</v>
      </c>
      <c r="AD88" s="11">
        <f t="shared" si="38"/>
        <v>0.63157894736842102</v>
      </c>
      <c r="AE88" s="11">
        <f t="shared" si="38"/>
        <v>0.86842105263157898</v>
      </c>
    </row>
    <row r="89" spans="1:31" x14ac:dyDescent="0.2">
      <c r="A89" t="s">
        <v>32</v>
      </c>
    </row>
    <row r="90" spans="1:31" x14ac:dyDescent="0.2">
      <c r="I90" s="2" t="s">
        <v>31</v>
      </c>
    </row>
    <row r="91" spans="1:31" x14ac:dyDescent="0.2">
      <c r="I91">
        <v>1</v>
      </c>
      <c r="J91" t="s">
        <v>54</v>
      </c>
      <c r="K91">
        <f>COUNTIFS(K$4:K$60,$I91,$J$4:$J$60,$I$90)</f>
        <v>3</v>
      </c>
      <c r="L91">
        <f t="shared" ref="L91:P91" si="39">COUNTIFS(L$4:L$60,$I91,$J$4:$J$60,$I$90)</f>
        <v>2</v>
      </c>
      <c r="M91">
        <f t="shared" si="39"/>
        <v>0</v>
      </c>
      <c r="N91">
        <f t="shared" si="39"/>
        <v>0</v>
      </c>
      <c r="O91">
        <f t="shared" si="39"/>
        <v>3</v>
      </c>
      <c r="P91">
        <f t="shared" si="39"/>
        <v>0</v>
      </c>
    </row>
    <row r="92" spans="1:31" x14ac:dyDescent="0.2">
      <c r="I92">
        <v>2</v>
      </c>
      <c r="J92" t="s">
        <v>55</v>
      </c>
      <c r="K92">
        <f t="shared" ref="K92:P93" si="40">COUNTIFS(K$4:K$60,$I92,$J$4:$J$60,$I$90)</f>
        <v>13</v>
      </c>
      <c r="L92">
        <f t="shared" si="40"/>
        <v>14</v>
      </c>
      <c r="M92">
        <f t="shared" si="40"/>
        <v>4</v>
      </c>
      <c r="N92">
        <f t="shared" si="40"/>
        <v>16</v>
      </c>
      <c r="O92">
        <f t="shared" si="40"/>
        <v>11</v>
      </c>
      <c r="P92">
        <f t="shared" si="40"/>
        <v>4</v>
      </c>
    </row>
    <row r="93" spans="1:31" x14ac:dyDescent="0.2">
      <c r="I93">
        <v>3</v>
      </c>
      <c r="J93" t="s">
        <v>56</v>
      </c>
      <c r="K93">
        <f t="shared" si="40"/>
        <v>22</v>
      </c>
      <c r="L93">
        <f t="shared" si="40"/>
        <v>22</v>
      </c>
      <c r="M93">
        <f t="shared" si="40"/>
        <v>34</v>
      </c>
      <c r="N93">
        <f t="shared" si="40"/>
        <v>22</v>
      </c>
      <c r="O93">
        <f t="shared" si="40"/>
        <v>24</v>
      </c>
      <c r="P93">
        <f t="shared" si="40"/>
        <v>34</v>
      </c>
    </row>
    <row r="94" spans="1:31" x14ac:dyDescent="0.2">
      <c r="K94" s="2" t="s">
        <v>40</v>
      </c>
      <c r="L94" s="2" t="s">
        <v>9</v>
      </c>
      <c r="M94" s="2" t="s">
        <v>41</v>
      </c>
      <c r="N94" s="2" t="s">
        <v>27</v>
      </c>
      <c r="O94" s="2" t="s">
        <v>28</v>
      </c>
      <c r="P94" s="2" t="s">
        <v>30</v>
      </c>
    </row>
    <row r="95" spans="1:31" x14ac:dyDescent="0.2">
      <c r="J95" s="3" t="s">
        <v>54</v>
      </c>
      <c r="K95" s="6">
        <f>K91/38</f>
        <v>7.8947368421052627E-2</v>
      </c>
      <c r="L95" s="6">
        <f t="shared" ref="L95:P95" si="41">L91/38</f>
        <v>5.2631578947368418E-2</v>
      </c>
      <c r="M95" s="6">
        <f t="shared" si="41"/>
        <v>0</v>
      </c>
      <c r="N95" s="6">
        <f t="shared" si="41"/>
        <v>0</v>
      </c>
      <c r="O95" s="6">
        <f t="shared" si="41"/>
        <v>7.8947368421052627E-2</v>
      </c>
      <c r="P95" s="6">
        <f t="shared" si="41"/>
        <v>0</v>
      </c>
    </row>
    <row r="96" spans="1:31" x14ac:dyDescent="0.2">
      <c r="J96" s="3" t="s">
        <v>55</v>
      </c>
      <c r="K96" s="6">
        <f t="shared" ref="K96:P97" si="42">K92/38</f>
        <v>0.34210526315789475</v>
      </c>
      <c r="L96" s="6">
        <f t="shared" si="42"/>
        <v>0.36842105263157893</v>
      </c>
      <c r="M96" s="6">
        <f t="shared" si="42"/>
        <v>0.10526315789473684</v>
      </c>
      <c r="N96" s="6">
        <f t="shared" si="42"/>
        <v>0.42105263157894735</v>
      </c>
      <c r="O96" s="6">
        <f t="shared" si="42"/>
        <v>0.28947368421052633</v>
      </c>
      <c r="P96" s="6">
        <f t="shared" si="42"/>
        <v>0.10526315789473684</v>
      </c>
    </row>
    <row r="97" spans="1:16" x14ac:dyDescent="0.2">
      <c r="J97" s="3" t="s">
        <v>56</v>
      </c>
      <c r="K97" s="6">
        <f t="shared" si="42"/>
        <v>0.57894736842105265</v>
      </c>
      <c r="L97" s="6">
        <f t="shared" si="42"/>
        <v>0.57894736842105265</v>
      </c>
      <c r="M97" s="6">
        <f t="shared" si="42"/>
        <v>0.89473684210526316</v>
      </c>
      <c r="N97" s="6">
        <f t="shared" si="42"/>
        <v>0.57894736842105265</v>
      </c>
      <c r="O97" s="6">
        <f t="shared" si="42"/>
        <v>0.63157894736842102</v>
      </c>
      <c r="P97" s="6">
        <f t="shared" si="42"/>
        <v>0.89473684210526316</v>
      </c>
    </row>
    <row r="103" spans="1:16" x14ac:dyDescent="0.2">
      <c r="A103" t="s">
        <v>31</v>
      </c>
    </row>
    <row r="109" spans="1:16" x14ac:dyDescent="0.2">
      <c r="I109" s="16" t="s">
        <v>62</v>
      </c>
      <c r="J109" s="2" t="s">
        <v>40</v>
      </c>
      <c r="K109" s="18" t="s">
        <v>54</v>
      </c>
      <c r="L109" s="18" t="s">
        <v>55</v>
      </c>
      <c r="M109" s="18" t="s">
        <v>56</v>
      </c>
      <c r="O109" s="18" t="s">
        <v>63</v>
      </c>
    </row>
    <row r="110" spans="1:16" x14ac:dyDescent="0.2">
      <c r="I110" s="17" t="s">
        <v>52</v>
      </c>
      <c r="J110" s="17"/>
      <c r="K110" s="23">
        <v>0</v>
      </c>
      <c r="L110" s="23">
        <v>0.125</v>
      </c>
      <c r="M110" s="23">
        <v>0.875</v>
      </c>
      <c r="O110" s="25">
        <f t="shared" ref="O110:O132" si="43">SUM(K110:M110)</f>
        <v>1</v>
      </c>
    </row>
    <row r="111" spans="1:16" x14ac:dyDescent="0.2">
      <c r="I111" s="17" t="s">
        <v>32</v>
      </c>
      <c r="J111" s="17"/>
      <c r="K111" s="15">
        <v>0</v>
      </c>
      <c r="L111" s="15">
        <v>0.36363636363636365</v>
      </c>
      <c r="M111" s="15">
        <v>0.63636363636363635</v>
      </c>
      <c r="O111" s="25">
        <f t="shared" si="43"/>
        <v>1</v>
      </c>
    </row>
    <row r="112" spans="1:16" x14ac:dyDescent="0.2">
      <c r="I112" s="17" t="s">
        <v>31</v>
      </c>
      <c r="J112" s="17"/>
      <c r="K112" s="15">
        <v>7.8947368421052627E-2</v>
      </c>
      <c r="L112" s="15">
        <v>0.34210526315789475</v>
      </c>
      <c r="M112" s="15">
        <v>0.57894736842105265</v>
      </c>
      <c r="O112" s="25">
        <f t="shared" si="43"/>
        <v>1</v>
      </c>
    </row>
    <row r="113" spans="1:15" x14ac:dyDescent="0.2">
      <c r="I113" s="19" t="s">
        <v>62</v>
      </c>
      <c r="J113" s="2" t="s">
        <v>9</v>
      </c>
      <c r="K113" s="21" t="s">
        <v>54</v>
      </c>
      <c r="L113" s="21" t="s">
        <v>55</v>
      </c>
      <c r="M113" s="21" t="s">
        <v>56</v>
      </c>
      <c r="O113" s="25">
        <f t="shared" si="43"/>
        <v>0</v>
      </c>
    </row>
    <row r="114" spans="1:15" x14ac:dyDescent="0.2">
      <c r="I114" s="20" t="s">
        <v>52</v>
      </c>
      <c r="J114" s="10"/>
      <c r="K114" s="23">
        <v>0.125</v>
      </c>
      <c r="L114" s="23">
        <v>0.375</v>
      </c>
      <c r="M114" s="23">
        <v>0.5</v>
      </c>
      <c r="O114" s="25">
        <f t="shared" si="43"/>
        <v>1</v>
      </c>
    </row>
    <row r="115" spans="1:15" x14ac:dyDescent="0.2">
      <c r="I115" s="20" t="s">
        <v>32</v>
      </c>
      <c r="J115" s="20"/>
      <c r="K115" s="15">
        <v>0.18181818181818182</v>
      </c>
      <c r="L115" s="15">
        <v>0.27272727272727271</v>
      </c>
      <c r="M115" s="15">
        <v>0.54545454545454541</v>
      </c>
      <c r="O115" s="25">
        <f t="shared" si="43"/>
        <v>1</v>
      </c>
    </row>
    <row r="116" spans="1:15" x14ac:dyDescent="0.2">
      <c r="I116" s="20" t="s">
        <v>31</v>
      </c>
      <c r="J116" s="20"/>
      <c r="K116" s="15">
        <v>5.2631578947368418E-2</v>
      </c>
      <c r="L116" s="15">
        <v>0.36842105263157893</v>
      </c>
      <c r="M116" s="15">
        <v>0.57894736842105265</v>
      </c>
      <c r="O116" s="25">
        <f t="shared" si="43"/>
        <v>1</v>
      </c>
    </row>
    <row r="117" spans="1:15" x14ac:dyDescent="0.2">
      <c r="A117" t="s">
        <v>46</v>
      </c>
      <c r="I117" s="16" t="s">
        <v>62</v>
      </c>
      <c r="J117" s="2" t="s">
        <v>41</v>
      </c>
      <c r="K117" s="18" t="s">
        <v>54</v>
      </c>
      <c r="L117" s="18" t="s">
        <v>55</v>
      </c>
      <c r="M117" s="18" t="s">
        <v>56</v>
      </c>
      <c r="O117" s="25">
        <f t="shared" si="43"/>
        <v>0</v>
      </c>
    </row>
    <row r="118" spans="1:15" x14ac:dyDescent="0.2">
      <c r="I118" s="17" t="s">
        <v>52</v>
      </c>
      <c r="J118" s="17"/>
      <c r="K118" s="23">
        <v>0</v>
      </c>
      <c r="L118" s="23">
        <v>0</v>
      </c>
      <c r="M118" s="23">
        <v>1</v>
      </c>
      <c r="O118" s="25">
        <f t="shared" si="43"/>
        <v>1</v>
      </c>
    </row>
    <row r="119" spans="1:15" x14ac:dyDescent="0.2">
      <c r="I119" s="17" t="s">
        <v>32</v>
      </c>
      <c r="J119" s="17"/>
      <c r="K119" s="15">
        <v>0</v>
      </c>
      <c r="L119" s="15">
        <v>9.0909090909090912E-2</v>
      </c>
      <c r="M119" s="15">
        <v>0.90909090909090906</v>
      </c>
      <c r="O119" s="25">
        <f t="shared" si="43"/>
        <v>1</v>
      </c>
    </row>
    <row r="120" spans="1:15" x14ac:dyDescent="0.2">
      <c r="I120" s="17" t="s">
        <v>31</v>
      </c>
      <c r="J120" s="17"/>
      <c r="K120" s="15">
        <v>0</v>
      </c>
      <c r="L120" s="15">
        <v>0.10526315789473684</v>
      </c>
      <c r="M120" s="15">
        <v>0.89473684210526316</v>
      </c>
      <c r="O120" s="25">
        <f t="shared" si="43"/>
        <v>1</v>
      </c>
    </row>
    <row r="121" spans="1:15" x14ac:dyDescent="0.2">
      <c r="I121" s="19" t="s">
        <v>62</v>
      </c>
      <c r="J121" s="2" t="s">
        <v>27</v>
      </c>
      <c r="K121" s="21" t="s">
        <v>54</v>
      </c>
      <c r="L121" s="21" t="s">
        <v>55</v>
      </c>
      <c r="M121" s="21" t="s">
        <v>56</v>
      </c>
      <c r="O121" s="25">
        <f t="shared" si="43"/>
        <v>0</v>
      </c>
    </row>
    <row r="122" spans="1:15" x14ac:dyDescent="0.2">
      <c r="I122" s="20" t="s">
        <v>52</v>
      </c>
      <c r="J122" s="10"/>
      <c r="K122" s="23">
        <v>0</v>
      </c>
      <c r="L122" s="23">
        <v>0.25</v>
      </c>
      <c r="M122" s="23">
        <v>0.75</v>
      </c>
      <c r="O122" s="25">
        <f t="shared" si="43"/>
        <v>1</v>
      </c>
    </row>
    <row r="123" spans="1:15" x14ac:dyDescent="0.2">
      <c r="I123" s="20" t="s">
        <v>32</v>
      </c>
      <c r="J123" s="20"/>
      <c r="K123" s="15">
        <v>0</v>
      </c>
      <c r="L123" s="15">
        <v>0.27272727272727271</v>
      </c>
      <c r="M123" s="15">
        <v>0.72727272727272729</v>
      </c>
      <c r="O123" s="25">
        <f t="shared" si="43"/>
        <v>1</v>
      </c>
    </row>
    <row r="124" spans="1:15" x14ac:dyDescent="0.2">
      <c r="I124" s="20" t="s">
        <v>31</v>
      </c>
      <c r="J124" s="20"/>
      <c r="K124" s="15">
        <v>0</v>
      </c>
      <c r="L124" s="15">
        <v>0.42105263157894735</v>
      </c>
      <c r="M124" s="15">
        <v>0.57894736842105265</v>
      </c>
      <c r="O124" s="25">
        <f t="shared" si="43"/>
        <v>1</v>
      </c>
    </row>
    <row r="125" spans="1:15" x14ac:dyDescent="0.2">
      <c r="I125" s="16" t="s">
        <v>62</v>
      </c>
      <c r="J125" s="2" t="s">
        <v>28</v>
      </c>
      <c r="K125" s="18" t="s">
        <v>54</v>
      </c>
      <c r="L125" s="18" t="s">
        <v>55</v>
      </c>
      <c r="M125" s="18" t="s">
        <v>56</v>
      </c>
      <c r="O125" s="25">
        <f t="shared" si="43"/>
        <v>0</v>
      </c>
    </row>
    <row r="126" spans="1:15" x14ac:dyDescent="0.2">
      <c r="I126" s="17" t="s">
        <v>52</v>
      </c>
      <c r="J126" s="17"/>
      <c r="K126" s="23">
        <v>0</v>
      </c>
      <c r="L126" s="23">
        <v>0.375</v>
      </c>
      <c r="M126" s="23">
        <v>0.625</v>
      </c>
      <c r="O126" s="25">
        <f t="shared" si="43"/>
        <v>1</v>
      </c>
    </row>
    <row r="127" spans="1:15" x14ac:dyDescent="0.2">
      <c r="I127" s="17" t="s">
        <v>32</v>
      </c>
      <c r="J127" s="17"/>
      <c r="K127" s="15">
        <v>9.0909090909090912E-2</v>
      </c>
      <c r="L127" s="15">
        <v>0.36363636363636365</v>
      </c>
      <c r="M127" s="15">
        <v>0.54545454545454541</v>
      </c>
      <c r="O127" s="25">
        <f t="shared" si="43"/>
        <v>1</v>
      </c>
    </row>
    <row r="128" spans="1:15" x14ac:dyDescent="0.2">
      <c r="I128" s="17" t="s">
        <v>31</v>
      </c>
      <c r="J128" s="17"/>
      <c r="K128" s="15">
        <v>7.8947368421052627E-2</v>
      </c>
      <c r="L128" s="15">
        <v>0.28947368421052633</v>
      </c>
      <c r="M128" s="15">
        <v>0.63157894736842102</v>
      </c>
      <c r="O128" s="25">
        <f t="shared" si="43"/>
        <v>1</v>
      </c>
    </row>
    <row r="129" spans="9:15" x14ac:dyDescent="0.2">
      <c r="I129" s="19" t="s">
        <v>62</v>
      </c>
      <c r="J129" s="2" t="s">
        <v>30</v>
      </c>
      <c r="K129" s="21" t="s">
        <v>54</v>
      </c>
      <c r="L129" s="21" t="s">
        <v>55</v>
      </c>
      <c r="M129" s="21" t="s">
        <v>56</v>
      </c>
      <c r="O129" s="25">
        <f t="shared" si="43"/>
        <v>0</v>
      </c>
    </row>
    <row r="130" spans="9:15" x14ac:dyDescent="0.2">
      <c r="I130" s="20" t="s">
        <v>52</v>
      </c>
      <c r="J130" s="10"/>
      <c r="K130" s="23">
        <v>0</v>
      </c>
      <c r="L130" s="23">
        <v>0</v>
      </c>
      <c r="M130" s="23">
        <v>1</v>
      </c>
      <c r="O130" s="25">
        <f t="shared" si="43"/>
        <v>1</v>
      </c>
    </row>
    <row r="131" spans="9:15" x14ac:dyDescent="0.2">
      <c r="I131" s="20" t="s">
        <v>32</v>
      </c>
      <c r="J131" s="20"/>
      <c r="K131" s="15">
        <v>0</v>
      </c>
      <c r="L131" s="15">
        <v>0</v>
      </c>
      <c r="M131" s="15">
        <v>1</v>
      </c>
      <c r="O131" s="25">
        <f t="shared" si="43"/>
        <v>1</v>
      </c>
    </row>
    <row r="132" spans="9:15" x14ac:dyDescent="0.2">
      <c r="I132" s="20" t="s">
        <v>31</v>
      </c>
      <c r="J132" s="20"/>
      <c r="K132" s="15">
        <v>0</v>
      </c>
      <c r="L132" s="15">
        <v>0.10526315789473684</v>
      </c>
      <c r="M132" s="15">
        <v>0.89473684210526316</v>
      </c>
      <c r="O132" s="25">
        <f t="shared" si="43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5"/>
  <sheetViews>
    <sheetView topLeftCell="I67" zoomScale="90" zoomScaleNormal="90" workbookViewId="0">
      <selection activeCell="AB84" sqref="AB84:AG84"/>
    </sheetView>
  </sheetViews>
  <sheetFormatPr baseColWidth="10" defaultRowHeight="16" x14ac:dyDescent="0.2"/>
  <sheetData>
    <row r="1" spans="1:33" x14ac:dyDescent="0.2">
      <c r="A1" s="3" t="s">
        <v>47</v>
      </c>
      <c r="K1" s="3" t="s">
        <v>48</v>
      </c>
      <c r="AA1" s="3" t="s">
        <v>49</v>
      </c>
    </row>
    <row r="2" spans="1:33" x14ac:dyDescent="0.2">
      <c r="A2" s="2" t="s">
        <v>34</v>
      </c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K2" s="2" t="s">
        <v>34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AA2" s="2" t="s">
        <v>34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</row>
    <row r="3" spans="1:33" x14ac:dyDescent="0.2">
      <c r="A3" t="s">
        <v>0</v>
      </c>
      <c r="B3" t="s">
        <v>2</v>
      </c>
      <c r="C3" t="s">
        <v>3</v>
      </c>
      <c r="D3" t="s">
        <v>6</v>
      </c>
      <c r="E3" t="s">
        <v>10</v>
      </c>
      <c r="F3" t="s">
        <v>20</v>
      </c>
      <c r="G3" t="s">
        <v>26</v>
      </c>
      <c r="K3" t="s">
        <v>0</v>
      </c>
      <c r="L3" t="s">
        <v>2</v>
      </c>
      <c r="M3" t="s">
        <v>3</v>
      </c>
      <c r="N3" t="s">
        <v>6</v>
      </c>
      <c r="O3" t="s">
        <v>10</v>
      </c>
      <c r="P3" t="s">
        <v>20</v>
      </c>
      <c r="Q3" t="s">
        <v>26</v>
      </c>
      <c r="AA3" t="s">
        <v>0</v>
      </c>
      <c r="AB3" t="s">
        <v>2</v>
      </c>
      <c r="AC3" t="s">
        <v>3</v>
      </c>
      <c r="AD3" t="s">
        <v>6</v>
      </c>
      <c r="AE3" t="s">
        <v>10</v>
      </c>
      <c r="AF3" t="s">
        <v>20</v>
      </c>
      <c r="AG3" t="s">
        <v>26</v>
      </c>
    </row>
    <row r="4" spans="1:33" x14ac:dyDescent="0.2">
      <c r="A4" s="1" t="s">
        <v>33</v>
      </c>
      <c r="B4">
        <v>5</v>
      </c>
      <c r="C4">
        <v>5</v>
      </c>
      <c r="D4">
        <v>4</v>
      </c>
      <c r="E4">
        <v>4</v>
      </c>
      <c r="F4">
        <v>5</v>
      </c>
      <c r="G4">
        <v>4</v>
      </c>
      <c r="K4" s="1" t="s">
        <v>33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AA4" s="1" t="s">
        <v>33</v>
      </c>
      <c r="AB4">
        <v>5</v>
      </c>
      <c r="AC4">
        <v>5</v>
      </c>
      <c r="AD4">
        <v>4</v>
      </c>
      <c r="AE4">
        <v>4</v>
      </c>
      <c r="AF4">
        <v>5</v>
      </c>
      <c r="AG4">
        <v>4</v>
      </c>
    </row>
    <row r="5" spans="1:33" x14ac:dyDescent="0.2">
      <c r="A5" t="s">
        <v>32</v>
      </c>
      <c r="B5">
        <v>5</v>
      </c>
      <c r="C5">
        <v>4</v>
      </c>
      <c r="D5">
        <v>5</v>
      </c>
      <c r="E5">
        <v>4</v>
      </c>
      <c r="F5">
        <v>4</v>
      </c>
      <c r="G5">
        <v>4</v>
      </c>
      <c r="K5" s="2" t="s">
        <v>32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Q5" s="2">
        <v>3</v>
      </c>
      <c r="AA5" t="s">
        <v>32</v>
      </c>
      <c r="AB5">
        <v>5</v>
      </c>
      <c r="AC5">
        <v>4</v>
      </c>
      <c r="AD5">
        <v>5</v>
      </c>
      <c r="AE5">
        <v>4</v>
      </c>
      <c r="AF5">
        <v>4</v>
      </c>
      <c r="AG5">
        <v>4</v>
      </c>
    </row>
    <row r="6" spans="1:33" x14ac:dyDescent="0.2">
      <c r="A6" t="s">
        <v>32</v>
      </c>
      <c r="B6">
        <v>5</v>
      </c>
      <c r="C6">
        <v>4</v>
      </c>
      <c r="D6">
        <v>3</v>
      </c>
      <c r="E6">
        <v>3</v>
      </c>
      <c r="F6">
        <v>4</v>
      </c>
      <c r="G6">
        <v>4</v>
      </c>
      <c r="K6" s="2" t="s">
        <v>32</v>
      </c>
      <c r="L6" s="2">
        <v>3</v>
      </c>
      <c r="M6" s="2">
        <v>3</v>
      </c>
      <c r="N6" s="2">
        <v>2</v>
      </c>
      <c r="O6" s="2">
        <v>2</v>
      </c>
      <c r="P6" s="2">
        <v>3</v>
      </c>
      <c r="Q6" s="2">
        <v>3</v>
      </c>
      <c r="AA6" t="s">
        <v>32</v>
      </c>
      <c r="AB6">
        <v>5</v>
      </c>
      <c r="AC6">
        <v>4</v>
      </c>
      <c r="AD6">
        <v>3</v>
      </c>
      <c r="AE6">
        <v>3</v>
      </c>
      <c r="AF6">
        <v>4</v>
      </c>
      <c r="AG6">
        <v>4</v>
      </c>
    </row>
    <row r="7" spans="1:33" x14ac:dyDescent="0.2">
      <c r="A7" t="s">
        <v>32</v>
      </c>
      <c r="B7">
        <v>5</v>
      </c>
      <c r="C7">
        <v>5</v>
      </c>
      <c r="D7">
        <v>4</v>
      </c>
      <c r="E7">
        <v>3</v>
      </c>
      <c r="F7">
        <v>4</v>
      </c>
      <c r="G7">
        <v>4</v>
      </c>
      <c r="K7" s="2" t="s">
        <v>32</v>
      </c>
      <c r="L7" s="2">
        <v>3</v>
      </c>
      <c r="M7" s="2">
        <v>3</v>
      </c>
      <c r="N7" s="2">
        <v>3</v>
      </c>
      <c r="O7" s="2">
        <v>2</v>
      </c>
      <c r="P7" s="2">
        <v>3</v>
      </c>
      <c r="Q7" s="2">
        <v>3</v>
      </c>
      <c r="AA7" t="s">
        <v>32</v>
      </c>
      <c r="AB7">
        <v>5</v>
      </c>
      <c r="AC7">
        <v>5</v>
      </c>
      <c r="AD7">
        <v>4</v>
      </c>
      <c r="AE7">
        <v>3</v>
      </c>
      <c r="AF7">
        <v>4</v>
      </c>
      <c r="AG7">
        <v>4</v>
      </c>
    </row>
    <row r="8" spans="1:33" x14ac:dyDescent="0.2">
      <c r="A8" t="s">
        <v>32</v>
      </c>
      <c r="B8">
        <v>5</v>
      </c>
      <c r="C8">
        <v>4</v>
      </c>
      <c r="D8">
        <v>4</v>
      </c>
      <c r="E8">
        <v>4</v>
      </c>
      <c r="F8">
        <v>4</v>
      </c>
      <c r="G8">
        <v>4</v>
      </c>
      <c r="K8" s="2" t="s">
        <v>32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AA8" t="s">
        <v>32</v>
      </c>
      <c r="AB8">
        <v>5</v>
      </c>
      <c r="AC8">
        <v>4</v>
      </c>
      <c r="AD8">
        <v>4</v>
      </c>
      <c r="AE8">
        <v>4</v>
      </c>
      <c r="AF8">
        <v>4</v>
      </c>
      <c r="AG8">
        <v>4</v>
      </c>
    </row>
    <row r="9" spans="1:33" x14ac:dyDescent="0.2">
      <c r="A9" t="s">
        <v>32</v>
      </c>
      <c r="B9">
        <v>4</v>
      </c>
      <c r="C9">
        <v>3</v>
      </c>
      <c r="D9">
        <v>4</v>
      </c>
      <c r="E9">
        <v>4</v>
      </c>
      <c r="F9">
        <v>4</v>
      </c>
      <c r="G9">
        <v>4</v>
      </c>
      <c r="K9" s="2" t="s">
        <v>32</v>
      </c>
      <c r="L9" s="2">
        <v>3</v>
      </c>
      <c r="M9" s="2">
        <v>2</v>
      </c>
      <c r="N9" s="2">
        <v>3</v>
      </c>
      <c r="O9" s="2">
        <v>3</v>
      </c>
      <c r="P9" s="2">
        <v>3</v>
      </c>
      <c r="Q9" s="2">
        <v>3</v>
      </c>
      <c r="AA9" t="s">
        <v>32</v>
      </c>
      <c r="AB9">
        <v>4</v>
      </c>
      <c r="AC9">
        <v>3</v>
      </c>
      <c r="AD9">
        <v>4</v>
      </c>
      <c r="AE9">
        <v>4</v>
      </c>
      <c r="AF9">
        <v>4</v>
      </c>
      <c r="AG9">
        <v>4</v>
      </c>
    </row>
    <row r="10" spans="1:33" x14ac:dyDescent="0.2">
      <c r="A10" t="s">
        <v>32</v>
      </c>
      <c r="B10">
        <v>4</v>
      </c>
      <c r="C10">
        <v>3</v>
      </c>
      <c r="D10">
        <v>4</v>
      </c>
      <c r="E10">
        <v>4</v>
      </c>
      <c r="F10">
        <v>4</v>
      </c>
      <c r="G10">
        <v>4</v>
      </c>
      <c r="K10" s="2" t="s">
        <v>32</v>
      </c>
      <c r="L10" s="2">
        <v>3</v>
      </c>
      <c r="M10" s="2">
        <v>2</v>
      </c>
      <c r="N10" s="2">
        <v>3</v>
      </c>
      <c r="O10" s="2">
        <v>3</v>
      </c>
      <c r="P10" s="2">
        <v>3</v>
      </c>
      <c r="Q10" s="2">
        <v>3</v>
      </c>
      <c r="AA10" t="s">
        <v>32</v>
      </c>
      <c r="AB10">
        <v>4</v>
      </c>
      <c r="AC10">
        <v>3</v>
      </c>
      <c r="AD10">
        <v>4</v>
      </c>
      <c r="AE10">
        <v>4</v>
      </c>
      <c r="AF10">
        <v>4</v>
      </c>
      <c r="AG10">
        <v>4</v>
      </c>
    </row>
    <row r="11" spans="1:33" x14ac:dyDescent="0.2">
      <c r="A11" t="s">
        <v>32</v>
      </c>
      <c r="B11">
        <v>4</v>
      </c>
      <c r="C11">
        <v>3</v>
      </c>
      <c r="D11">
        <v>2</v>
      </c>
      <c r="E11">
        <v>3</v>
      </c>
      <c r="F11">
        <v>4</v>
      </c>
      <c r="G11">
        <v>3</v>
      </c>
      <c r="K11" s="2" t="s">
        <v>32</v>
      </c>
      <c r="L11" s="2">
        <v>3</v>
      </c>
      <c r="M11" s="2">
        <v>2</v>
      </c>
      <c r="N11" s="2">
        <v>1</v>
      </c>
      <c r="O11" s="2">
        <v>2</v>
      </c>
      <c r="P11" s="2">
        <v>3</v>
      </c>
      <c r="Q11" s="2">
        <v>2</v>
      </c>
      <c r="AA11" t="s">
        <v>32</v>
      </c>
      <c r="AB11">
        <v>4</v>
      </c>
      <c r="AC11">
        <v>3</v>
      </c>
      <c r="AD11">
        <v>2</v>
      </c>
      <c r="AE11">
        <v>3</v>
      </c>
      <c r="AF11">
        <v>4</v>
      </c>
      <c r="AG11">
        <v>3</v>
      </c>
    </row>
    <row r="12" spans="1:33" x14ac:dyDescent="0.2">
      <c r="A12" t="s">
        <v>32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K12" s="2" t="s">
        <v>32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AA12" t="s">
        <v>32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</row>
    <row r="13" spans="1:33" x14ac:dyDescent="0.2">
      <c r="A13" t="s">
        <v>32</v>
      </c>
      <c r="B13">
        <v>5</v>
      </c>
      <c r="C13">
        <v>3</v>
      </c>
      <c r="D13">
        <v>4</v>
      </c>
      <c r="E13">
        <v>4</v>
      </c>
      <c r="F13">
        <v>3</v>
      </c>
      <c r="G13">
        <v>3</v>
      </c>
      <c r="K13" s="2" t="s">
        <v>32</v>
      </c>
      <c r="L13" s="2">
        <v>3</v>
      </c>
      <c r="M13" s="2">
        <v>2</v>
      </c>
      <c r="N13" s="2">
        <v>3</v>
      </c>
      <c r="O13" s="2">
        <v>3</v>
      </c>
      <c r="P13" s="2">
        <v>2</v>
      </c>
      <c r="Q13" s="2">
        <v>2</v>
      </c>
      <c r="AA13" t="s">
        <v>32</v>
      </c>
      <c r="AB13">
        <v>5</v>
      </c>
      <c r="AC13">
        <v>3</v>
      </c>
      <c r="AD13">
        <v>4</v>
      </c>
      <c r="AE13">
        <v>4</v>
      </c>
      <c r="AF13">
        <v>3</v>
      </c>
      <c r="AG13">
        <v>3</v>
      </c>
    </row>
    <row r="14" spans="1:33" x14ac:dyDescent="0.2">
      <c r="A14" t="s">
        <v>32</v>
      </c>
      <c r="B14">
        <v>4</v>
      </c>
      <c r="C14">
        <v>3</v>
      </c>
      <c r="D14">
        <v>4</v>
      </c>
      <c r="E14">
        <v>4</v>
      </c>
      <c r="F14">
        <v>4</v>
      </c>
      <c r="G14">
        <v>4</v>
      </c>
      <c r="K14" s="2" t="s">
        <v>32</v>
      </c>
      <c r="L14" s="2">
        <v>3</v>
      </c>
      <c r="M14" s="2">
        <v>2</v>
      </c>
      <c r="N14" s="2">
        <v>3</v>
      </c>
      <c r="O14" s="2">
        <v>3</v>
      </c>
      <c r="P14" s="2">
        <v>3</v>
      </c>
      <c r="Q14" s="2">
        <v>3</v>
      </c>
      <c r="AA14" t="s">
        <v>32</v>
      </c>
      <c r="AB14">
        <v>4</v>
      </c>
      <c r="AC14">
        <v>3</v>
      </c>
      <c r="AD14">
        <v>4</v>
      </c>
      <c r="AE14">
        <v>4</v>
      </c>
      <c r="AF14">
        <v>4</v>
      </c>
      <c r="AG14">
        <v>4</v>
      </c>
    </row>
    <row r="15" spans="1:33" x14ac:dyDescent="0.2">
      <c r="A15" t="s">
        <v>32</v>
      </c>
      <c r="B15">
        <v>5</v>
      </c>
      <c r="C15">
        <v>4</v>
      </c>
      <c r="D15">
        <v>3</v>
      </c>
      <c r="E15">
        <v>3</v>
      </c>
      <c r="F15">
        <v>3</v>
      </c>
      <c r="G15">
        <v>3</v>
      </c>
      <c r="K15" s="2" t="s">
        <v>32</v>
      </c>
      <c r="L15" s="2">
        <v>3</v>
      </c>
      <c r="M15" s="2">
        <v>3</v>
      </c>
      <c r="N15" s="2">
        <v>2</v>
      </c>
      <c r="O15" s="2">
        <v>2</v>
      </c>
      <c r="P15" s="2">
        <v>2</v>
      </c>
      <c r="Q15" s="2">
        <v>2</v>
      </c>
      <c r="AA15" t="s">
        <v>32</v>
      </c>
      <c r="AB15">
        <v>5</v>
      </c>
      <c r="AC15">
        <v>4</v>
      </c>
      <c r="AD15">
        <v>3</v>
      </c>
      <c r="AE15">
        <v>3</v>
      </c>
      <c r="AF15">
        <v>3</v>
      </c>
      <c r="AG15">
        <v>3</v>
      </c>
    </row>
    <row r="16" spans="1:33" x14ac:dyDescent="0.2">
      <c r="A16" t="s">
        <v>33</v>
      </c>
      <c r="B16">
        <v>5</v>
      </c>
      <c r="C16">
        <v>4</v>
      </c>
      <c r="D16">
        <v>4</v>
      </c>
      <c r="E16">
        <v>5</v>
      </c>
      <c r="F16">
        <v>5</v>
      </c>
      <c r="G16">
        <v>4</v>
      </c>
      <c r="K16" s="2" t="s">
        <v>33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AA16" t="s">
        <v>33</v>
      </c>
      <c r="AB16">
        <v>5</v>
      </c>
      <c r="AC16">
        <v>4</v>
      </c>
      <c r="AD16">
        <v>4</v>
      </c>
      <c r="AE16">
        <v>5</v>
      </c>
      <c r="AF16">
        <v>5</v>
      </c>
      <c r="AG16">
        <v>4</v>
      </c>
    </row>
    <row r="17" spans="1:33" x14ac:dyDescent="0.2">
      <c r="A17" t="s">
        <v>33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K17" s="2" t="s">
        <v>33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3</v>
      </c>
      <c r="AA17" t="s">
        <v>33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</row>
    <row r="18" spans="1:33" x14ac:dyDescent="0.2">
      <c r="A18" t="s">
        <v>33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K18" s="2" t="s">
        <v>33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AA18" t="s">
        <v>33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</row>
    <row r="19" spans="1:33" x14ac:dyDescent="0.2">
      <c r="A19" t="s">
        <v>33</v>
      </c>
      <c r="B19">
        <v>4</v>
      </c>
      <c r="C19">
        <v>4</v>
      </c>
      <c r="D19">
        <v>4</v>
      </c>
      <c r="E19">
        <v>3</v>
      </c>
      <c r="F19">
        <v>4</v>
      </c>
      <c r="G19">
        <v>4</v>
      </c>
      <c r="K19" s="2" t="s">
        <v>33</v>
      </c>
      <c r="L19" s="2">
        <v>3</v>
      </c>
      <c r="M19" s="2">
        <v>3</v>
      </c>
      <c r="N19" s="2">
        <v>3</v>
      </c>
      <c r="O19" s="2">
        <v>2</v>
      </c>
      <c r="P19" s="2">
        <v>3</v>
      </c>
      <c r="Q19" s="2">
        <v>3</v>
      </c>
      <c r="AA19" t="s">
        <v>33</v>
      </c>
      <c r="AB19">
        <v>4</v>
      </c>
      <c r="AC19">
        <v>4</v>
      </c>
      <c r="AD19">
        <v>4</v>
      </c>
      <c r="AE19">
        <v>3</v>
      </c>
      <c r="AF19">
        <v>4</v>
      </c>
      <c r="AG19">
        <v>4</v>
      </c>
    </row>
    <row r="20" spans="1:33" x14ac:dyDescent="0.2">
      <c r="A20" t="s">
        <v>33</v>
      </c>
      <c r="B20">
        <v>5</v>
      </c>
      <c r="C20">
        <v>4</v>
      </c>
      <c r="D20">
        <v>4</v>
      </c>
      <c r="E20">
        <v>3</v>
      </c>
      <c r="F20">
        <v>4</v>
      </c>
      <c r="G20">
        <v>4</v>
      </c>
      <c r="K20" s="2" t="s">
        <v>33</v>
      </c>
      <c r="L20" s="2">
        <v>3</v>
      </c>
      <c r="M20" s="2">
        <v>3</v>
      </c>
      <c r="N20" s="2">
        <v>3</v>
      </c>
      <c r="O20" s="2">
        <v>2</v>
      </c>
      <c r="P20" s="2">
        <v>3</v>
      </c>
      <c r="Q20" s="2">
        <v>3</v>
      </c>
      <c r="AA20" t="s">
        <v>33</v>
      </c>
      <c r="AB20">
        <v>5</v>
      </c>
      <c r="AC20">
        <v>4</v>
      </c>
      <c r="AD20">
        <v>4</v>
      </c>
      <c r="AE20">
        <v>3</v>
      </c>
      <c r="AF20">
        <v>4</v>
      </c>
      <c r="AG20">
        <v>4</v>
      </c>
    </row>
    <row r="21" spans="1:33" x14ac:dyDescent="0.2">
      <c r="A21" t="s">
        <v>33</v>
      </c>
      <c r="B21">
        <v>4</v>
      </c>
      <c r="C21">
        <v>4</v>
      </c>
      <c r="D21">
        <v>3</v>
      </c>
      <c r="E21">
        <v>2</v>
      </c>
      <c r="F21">
        <v>3</v>
      </c>
      <c r="G21">
        <v>3</v>
      </c>
      <c r="K21" s="2" t="s">
        <v>33</v>
      </c>
      <c r="L21" s="2">
        <v>3</v>
      </c>
      <c r="M21" s="2">
        <v>3</v>
      </c>
      <c r="N21" s="2">
        <v>2</v>
      </c>
      <c r="O21" s="2">
        <v>1</v>
      </c>
      <c r="P21" s="2">
        <v>2</v>
      </c>
      <c r="Q21" s="2">
        <v>2</v>
      </c>
      <c r="AA21" t="s">
        <v>33</v>
      </c>
      <c r="AB21">
        <v>4</v>
      </c>
      <c r="AC21">
        <v>4</v>
      </c>
      <c r="AD21">
        <v>3</v>
      </c>
      <c r="AE21">
        <v>2</v>
      </c>
      <c r="AF21">
        <v>3</v>
      </c>
      <c r="AG21">
        <v>3</v>
      </c>
    </row>
    <row r="22" spans="1:33" x14ac:dyDescent="0.2">
      <c r="A22" t="s">
        <v>33</v>
      </c>
      <c r="B22">
        <v>5</v>
      </c>
      <c r="C22">
        <v>3</v>
      </c>
      <c r="D22">
        <v>4</v>
      </c>
      <c r="E22">
        <v>3</v>
      </c>
      <c r="F22">
        <v>5</v>
      </c>
      <c r="G22">
        <v>4</v>
      </c>
      <c r="K22" s="2" t="s">
        <v>33</v>
      </c>
      <c r="L22" s="2">
        <v>3</v>
      </c>
      <c r="M22" s="2">
        <v>2</v>
      </c>
      <c r="N22" s="2">
        <v>3</v>
      </c>
      <c r="O22" s="2">
        <v>2</v>
      </c>
      <c r="P22" s="2">
        <v>3</v>
      </c>
      <c r="Q22" s="2">
        <v>3</v>
      </c>
      <c r="AA22" t="s">
        <v>33</v>
      </c>
      <c r="AB22">
        <v>5</v>
      </c>
      <c r="AC22">
        <v>3</v>
      </c>
      <c r="AD22">
        <v>4</v>
      </c>
      <c r="AE22">
        <v>3</v>
      </c>
      <c r="AF22">
        <v>5</v>
      </c>
      <c r="AG22">
        <v>4</v>
      </c>
    </row>
    <row r="23" spans="1:33" x14ac:dyDescent="0.2">
      <c r="A23" t="s">
        <v>31</v>
      </c>
      <c r="B23">
        <v>4</v>
      </c>
      <c r="C23">
        <v>3</v>
      </c>
      <c r="D23">
        <v>4</v>
      </c>
      <c r="E23">
        <v>3</v>
      </c>
      <c r="F23">
        <v>3</v>
      </c>
      <c r="G23">
        <v>3</v>
      </c>
      <c r="K23" s="2" t="s">
        <v>31</v>
      </c>
      <c r="L23" s="2">
        <v>3</v>
      </c>
      <c r="M23" s="2">
        <v>2</v>
      </c>
      <c r="N23" s="2">
        <v>3</v>
      </c>
      <c r="O23" s="2">
        <v>2</v>
      </c>
      <c r="P23" s="2">
        <v>2</v>
      </c>
      <c r="Q23" s="2">
        <v>2</v>
      </c>
      <c r="AA23" t="s">
        <v>31</v>
      </c>
      <c r="AB23">
        <v>4</v>
      </c>
      <c r="AC23">
        <v>3</v>
      </c>
      <c r="AD23">
        <v>4</v>
      </c>
      <c r="AE23">
        <v>3</v>
      </c>
      <c r="AF23">
        <v>3</v>
      </c>
      <c r="AG23">
        <v>3</v>
      </c>
    </row>
    <row r="24" spans="1:33" x14ac:dyDescent="0.2">
      <c r="A24" t="s">
        <v>31</v>
      </c>
      <c r="B24">
        <v>4</v>
      </c>
      <c r="C24">
        <v>4</v>
      </c>
      <c r="D24">
        <v>4</v>
      </c>
      <c r="E24">
        <v>3</v>
      </c>
      <c r="F24">
        <v>3</v>
      </c>
      <c r="G24">
        <v>3</v>
      </c>
      <c r="K24" s="2" t="s">
        <v>31</v>
      </c>
      <c r="L24" s="2">
        <v>3</v>
      </c>
      <c r="M24" s="2">
        <v>3</v>
      </c>
      <c r="N24" s="2">
        <v>3</v>
      </c>
      <c r="O24" s="2">
        <v>2</v>
      </c>
      <c r="P24" s="2">
        <v>2</v>
      </c>
      <c r="Q24" s="2">
        <v>2</v>
      </c>
      <c r="AA24" t="s">
        <v>31</v>
      </c>
      <c r="AB24">
        <v>4</v>
      </c>
      <c r="AC24">
        <v>4</v>
      </c>
      <c r="AD24">
        <v>4</v>
      </c>
      <c r="AE24">
        <v>3</v>
      </c>
      <c r="AF24">
        <v>3</v>
      </c>
      <c r="AG24">
        <v>3</v>
      </c>
    </row>
    <row r="25" spans="1:33" x14ac:dyDescent="0.2">
      <c r="A25" t="s">
        <v>31</v>
      </c>
      <c r="B25">
        <v>4</v>
      </c>
      <c r="C25">
        <v>3</v>
      </c>
      <c r="D25">
        <v>4</v>
      </c>
      <c r="E25">
        <v>3</v>
      </c>
      <c r="F25">
        <v>4</v>
      </c>
      <c r="G25">
        <v>3</v>
      </c>
      <c r="K25" s="2" t="s">
        <v>31</v>
      </c>
      <c r="L25" s="2">
        <v>3</v>
      </c>
      <c r="M25" s="2">
        <v>2</v>
      </c>
      <c r="N25" s="2">
        <v>3</v>
      </c>
      <c r="O25" s="2">
        <v>2</v>
      </c>
      <c r="P25" s="2">
        <v>3</v>
      </c>
      <c r="Q25" s="2">
        <v>2</v>
      </c>
      <c r="AA25" t="s">
        <v>31</v>
      </c>
      <c r="AB25">
        <v>4</v>
      </c>
      <c r="AC25">
        <v>3</v>
      </c>
      <c r="AD25">
        <v>4</v>
      </c>
      <c r="AE25">
        <v>3</v>
      </c>
      <c r="AF25">
        <v>4</v>
      </c>
      <c r="AG25">
        <v>3</v>
      </c>
    </row>
    <row r="26" spans="1:33" x14ac:dyDescent="0.2">
      <c r="A26" t="s">
        <v>31</v>
      </c>
      <c r="B26">
        <v>4</v>
      </c>
      <c r="C26">
        <v>3</v>
      </c>
      <c r="D26">
        <v>3</v>
      </c>
      <c r="E26">
        <v>3</v>
      </c>
      <c r="F26">
        <v>4</v>
      </c>
      <c r="G26">
        <v>3</v>
      </c>
      <c r="K26" s="2" t="s">
        <v>31</v>
      </c>
      <c r="L26" s="2">
        <v>3</v>
      </c>
      <c r="M26" s="2">
        <v>2</v>
      </c>
      <c r="N26" s="2">
        <v>2</v>
      </c>
      <c r="O26" s="2">
        <v>2</v>
      </c>
      <c r="P26" s="2">
        <v>3</v>
      </c>
      <c r="Q26" s="2">
        <v>2</v>
      </c>
      <c r="AA26" t="s">
        <v>31</v>
      </c>
      <c r="AB26">
        <v>4</v>
      </c>
      <c r="AC26">
        <v>3</v>
      </c>
      <c r="AD26">
        <v>3</v>
      </c>
      <c r="AE26">
        <v>3</v>
      </c>
      <c r="AF26">
        <v>4</v>
      </c>
      <c r="AG26">
        <v>3</v>
      </c>
    </row>
    <row r="27" spans="1:33" x14ac:dyDescent="0.2">
      <c r="A27" t="s">
        <v>31</v>
      </c>
      <c r="B27">
        <v>5</v>
      </c>
      <c r="C27">
        <v>5</v>
      </c>
      <c r="D27">
        <v>4</v>
      </c>
      <c r="E27">
        <v>4</v>
      </c>
      <c r="F27">
        <v>4</v>
      </c>
      <c r="G27">
        <v>5</v>
      </c>
      <c r="K27" s="2" t="s">
        <v>31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AA27" t="s">
        <v>31</v>
      </c>
      <c r="AB27">
        <v>5</v>
      </c>
      <c r="AC27">
        <v>5</v>
      </c>
      <c r="AD27">
        <v>4</v>
      </c>
      <c r="AE27">
        <v>4</v>
      </c>
      <c r="AF27">
        <v>4</v>
      </c>
      <c r="AG27">
        <v>5</v>
      </c>
    </row>
    <row r="28" spans="1:33" x14ac:dyDescent="0.2">
      <c r="A28" t="s">
        <v>31</v>
      </c>
      <c r="B28">
        <v>4</v>
      </c>
      <c r="C28">
        <v>4</v>
      </c>
      <c r="D28">
        <v>3</v>
      </c>
      <c r="E28">
        <v>3</v>
      </c>
      <c r="F28">
        <v>3</v>
      </c>
      <c r="G28">
        <v>2</v>
      </c>
      <c r="K28" s="2" t="s">
        <v>31</v>
      </c>
      <c r="L28" s="2">
        <v>3</v>
      </c>
      <c r="M28" s="2">
        <v>3</v>
      </c>
      <c r="N28" s="2">
        <v>2</v>
      </c>
      <c r="O28" s="2">
        <v>2</v>
      </c>
      <c r="P28" s="2">
        <v>2</v>
      </c>
      <c r="Q28" s="2">
        <v>1</v>
      </c>
      <c r="AA28" t="s">
        <v>31</v>
      </c>
      <c r="AB28">
        <v>4</v>
      </c>
      <c r="AC28">
        <v>4</v>
      </c>
      <c r="AD28">
        <v>3</v>
      </c>
      <c r="AE28">
        <v>3</v>
      </c>
      <c r="AF28">
        <v>3</v>
      </c>
      <c r="AG28">
        <v>2</v>
      </c>
    </row>
    <row r="29" spans="1:33" x14ac:dyDescent="0.2">
      <c r="A29" t="s">
        <v>31</v>
      </c>
      <c r="B29">
        <v>3</v>
      </c>
      <c r="C29">
        <v>3</v>
      </c>
      <c r="D29">
        <v>4</v>
      </c>
      <c r="E29">
        <v>3</v>
      </c>
      <c r="F29">
        <v>3</v>
      </c>
      <c r="G29">
        <v>3</v>
      </c>
      <c r="K29" s="2" t="s">
        <v>31</v>
      </c>
      <c r="L29" s="2">
        <v>2</v>
      </c>
      <c r="M29" s="2">
        <v>2</v>
      </c>
      <c r="N29" s="2">
        <v>3</v>
      </c>
      <c r="O29" s="2">
        <v>2</v>
      </c>
      <c r="P29" s="2">
        <v>2</v>
      </c>
      <c r="Q29" s="2">
        <v>2</v>
      </c>
      <c r="AA29" t="s">
        <v>31</v>
      </c>
      <c r="AB29">
        <v>3</v>
      </c>
      <c r="AC29">
        <v>3</v>
      </c>
      <c r="AD29">
        <v>4</v>
      </c>
      <c r="AE29">
        <v>3</v>
      </c>
      <c r="AF29">
        <v>3</v>
      </c>
      <c r="AG29">
        <v>3</v>
      </c>
    </row>
    <row r="30" spans="1:33" x14ac:dyDescent="0.2">
      <c r="A30" t="s">
        <v>31</v>
      </c>
      <c r="B30">
        <v>3</v>
      </c>
      <c r="C30">
        <v>4</v>
      </c>
      <c r="D30">
        <v>3</v>
      </c>
      <c r="E30">
        <v>3</v>
      </c>
      <c r="F30">
        <v>5</v>
      </c>
      <c r="G30">
        <v>4</v>
      </c>
      <c r="K30" s="2" t="s">
        <v>31</v>
      </c>
      <c r="L30" s="2">
        <v>2</v>
      </c>
      <c r="M30" s="2">
        <v>3</v>
      </c>
      <c r="N30" s="2">
        <v>2</v>
      </c>
      <c r="O30" s="2">
        <v>2</v>
      </c>
      <c r="P30" s="2">
        <v>3</v>
      </c>
      <c r="Q30" s="2">
        <v>3</v>
      </c>
      <c r="AA30" t="s">
        <v>31</v>
      </c>
      <c r="AB30">
        <v>3</v>
      </c>
      <c r="AC30">
        <v>4</v>
      </c>
      <c r="AD30">
        <v>3</v>
      </c>
      <c r="AE30">
        <v>3</v>
      </c>
      <c r="AF30">
        <v>5</v>
      </c>
      <c r="AG30">
        <v>4</v>
      </c>
    </row>
    <row r="31" spans="1:33" x14ac:dyDescent="0.2">
      <c r="A31" t="s">
        <v>31</v>
      </c>
      <c r="B31">
        <v>4</v>
      </c>
      <c r="C31">
        <v>4</v>
      </c>
      <c r="D31">
        <v>5</v>
      </c>
      <c r="E31">
        <v>3</v>
      </c>
      <c r="F31">
        <v>5</v>
      </c>
      <c r="G31">
        <v>4</v>
      </c>
      <c r="K31" s="2" t="s">
        <v>31</v>
      </c>
      <c r="L31" s="2">
        <v>3</v>
      </c>
      <c r="M31" s="2">
        <v>3</v>
      </c>
      <c r="N31" s="2">
        <v>3</v>
      </c>
      <c r="O31" s="2">
        <v>2</v>
      </c>
      <c r="P31" s="2">
        <v>3</v>
      </c>
      <c r="Q31" s="2">
        <v>3</v>
      </c>
      <c r="AA31" t="s">
        <v>31</v>
      </c>
      <c r="AB31">
        <v>4</v>
      </c>
      <c r="AC31">
        <v>4</v>
      </c>
      <c r="AD31">
        <v>5</v>
      </c>
      <c r="AE31">
        <v>3</v>
      </c>
      <c r="AF31">
        <v>5</v>
      </c>
      <c r="AG31">
        <v>4</v>
      </c>
    </row>
    <row r="32" spans="1:33" x14ac:dyDescent="0.2">
      <c r="A32" t="s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K32" s="2" t="s">
        <v>31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AA32" t="s">
        <v>31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</row>
    <row r="33" spans="1:33" x14ac:dyDescent="0.2">
      <c r="A33" t="s">
        <v>31</v>
      </c>
      <c r="B33">
        <v>4</v>
      </c>
      <c r="C33">
        <v>4</v>
      </c>
      <c r="D33">
        <v>4</v>
      </c>
      <c r="E33">
        <v>3</v>
      </c>
      <c r="F33">
        <v>5</v>
      </c>
      <c r="G33">
        <v>5</v>
      </c>
      <c r="K33" s="2" t="s">
        <v>31</v>
      </c>
      <c r="L33" s="2">
        <v>3</v>
      </c>
      <c r="M33" s="2">
        <v>3</v>
      </c>
      <c r="N33" s="2">
        <v>3</v>
      </c>
      <c r="O33" s="2">
        <v>2</v>
      </c>
      <c r="P33" s="2">
        <v>3</v>
      </c>
      <c r="Q33" s="2">
        <v>3</v>
      </c>
      <c r="AA33" t="s">
        <v>31</v>
      </c>
      <c r="AB33">
        <v>4</v>
      </c>
      <c r="AC33">
        <v>4</v>
      </c>
      <c r="AD33">
        <v>4</v>
      </c>
      <c r="AE33">
        <v>3</v>
      </c>
      <c r="AF33">
        <v>5</v>
      </c>
      <c r="AG33">
        <v>5</v>
      </c>
    </row>
    <row r="34" spans="1:33" x14ac:dyDescent="0.2">
      <c r="A34" t="s">
        <v>31</v>
      </c>
      <c r="B34">
        <v>4</v>
      </c>
      <c r="C34">
        <v>5</v>
      </c>
      <c r="D34">
        <v>3</v>
      </c>
      <c r="E34">
        <v>2</v>
      </c>
      <c r="F34">
        <v>5</v>
      </c>
      <c r="G34">
        <v>4</v>
      </c>
      <c r="K34" s="2" t="s">
        <v>31</v>
      </c>
      <c r="L34" s="2">
        <v>3</v>
      </c>
      <c r="M34" s="2">
        <v>3</v>
      </c>
      <c r="N34" s="2">
        <v>2</v>
      </c>
      <c r="O34" s="2">
        <v>1</v>
      </c>
      <c r="P34" s="2">
        <v>3</v>
      </c>
      <c r="Q34" s="2">
        <v>3</v>
      </c>
      <c r="AA34" t="s">
        <v>31</v>
      </c>
      <c r="AB34">
        <v>4</v>
      </c>
      <c r="AC34">
        <v>5</v>
      </c>
      <c r="AD34">
        <v>3</v>
      </c>
      <c r="AE34">
        <v>2</v>
      </c>
      <c r="AF34">
        <v>5</v>
      </c>
      <c r="AG34">
        <v>4</v>
      </c>
    </row>
    <row r="35" spans="1:33" x14ac:dyDescent="0.2">
      <c r="A35" t="s">
        <v>31</v>
      </c>
      <c r="B35">
        <v>4</v>
      </c>
      <c r="C35">
        <v>3</v>
      </c>
      <c r="D35">
        <v>3</v>
      </c>
      <c r="E35">
        <v>3</v>
      </c>
      <c r="F35">
        <v>4</v>
      </c>
      <c r="G35">
        <v>4</v>
      </c>
      <c r="K35" s="2" t="s">
        <v>31</v>
      </c>
      <c r="L35" s="2">
        <v>3</v>
      </c>
      <c r="M35" s="2">
        <v>2</v>
      </c>
      <c r="N35" s="2">
        <v>2</v>
      </c>
      <c r="O35" s="2">
        <v>2</v>
      </c>
      <c r="P35" s="2">
        <v>3</v>
      </c>
      <c r="Q35" s="2">
        <v>3</v>
      </c>
      <c r="AA35" t="s">
        <v>31</v>
      </c>
      <c r="AB35">
        <v>4</v>
      </c>
      <c r="AC35">
        <v>3</v>
      </c>
      <c r="AD35">
        <v>3</v>
      </c>
      <c r="AE35">
        <v>3</v>
      </c>
      <c r="AF35">
        <v>4</v>
      </c>
      <c r="AG35">
        <v>4</v>
      </c>
    </row>
    <row r="36" spans="1:33" x14ac:dyDescent="0.2">
      <c r="A36" t="s">
        <v>31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K36" s="2" t="s">
        <v>31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AA36" t="s">
        <v>31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</row>
    <row r="37" spans="1:33" x14ac:dyDescent="0.2">
      <c r="A37" t="s">
        <v>31</v>
      </c>
      <c r="B37">
        <v>4</v>
      </c>
      <c r="C37">
        <v>3</v>
      </c>
      <c r="D37">
        <v>3</v>
      </c>
      <c r="E37">
        <v>2</v>
      </c>
      <c r="F37">
        <v>3</v>
      </c>
      <c r="G37">
        <v>3</v>
      </c>
      <c r="K37" s="2" t="s">
        <v>31</v>
      </c>
      <c r="L37" s="2">
        <v>3</v>
      </c>
      <c r="M37" s="2">
        <v>2</v>
      </c>
      <c r="N37" s="2">
        <v>2</v>
      </c>
      <c r="O37" s="2">
        <v>1</v>
      </c>
      <c r="P37" s="2">
        <v>2</v>
      </c>
      <c r="Q37" s="2">
        <v>2</v>
      </c>
      <c r="AA37" t="s">
        <v>31</v>
      </c>
      <c r="AB37">
        <v>4</v>
      </c>
      <c r="AC37">
        <v>3</v>
      </c>
      <c r="AD37">
        <v>3</v>
      </c>
      <c r="AE37">
        <v>2</v>
      </c>
      <c r="AF37">
        <v>3</v>
      </c>
      <c r="AG37">
        <v>3</v>
      </c>
    </row>
    <row r="38" spans="1:33" x14ac:dyDescent="0.2">
      <c r="A38" t="s">
        <v>31</v>
      </c>
      <c r="B38">
        <v>5</v>
      </c>
      <c r="C38">
        <v>4</v>
      </c>
      <c r="D38">
        <v>4</v>
      </c>
      <c r="E38">
        <v>3</v>
      </c>
      <c r="F38">
        <v>5</v>
      </c>
      <c r="G38">
        <v>3</v>
      </c>
      <c r="K38" s="2" t="s">
        <v>31</v>
      </c>
      <c r="L38" s="2">
        <v>3</v>
      </c>
      <c r="M38" s="2">
        <v>3</v>
      </c>
      <c r="N38" s="2">
        <v>3</v>
      </c>
      <c r="O38" s="2">
        <v>2</v>
      </c>
      <c r="P38" s="2">
        <v>3</v>
      </c>
      <c r="Q38" s="2">
        <v>2</v>
      </c>
      <c r="AA38" t="s">
        <v>31</v>
      </c>
      <c r="AB38">
        <v>5</v>
      </c>
      <c r="AC38">
        <v>4</v>
      </c>
      <c r="AD38">
        <v>4</v>
      </c>
      <c r="AE38">
        <v>3</v>
      </c>
      <c r="AF38">
        <v>5</v>
      </c>
      <c r="AG38">
        <v>3</v>
      </c>
    </row>
    <row r="39" spans="1:33" x14ac:dyDescent="0.2">
      <c r="A39" t="s">
        <v>31</v>
      </c>
      <c r="B39">
        <v>4</v>
      </c>
      <c r="C39">
        <v>4</v>
      </c>
      <c r="D39">
        <v>4</v>
      </c>
      <c r="E39">
        <v>5</v>
      </c>
      <c r="F39">
        <v>4</v>
      </c>
      <c r="G39">
        <v>5</v>
      </c>
      <c r="K39" s="2" t="s">
        <v>31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AA39" t="s">
        <v>31</v>
      </c>
      <c r="AB39">
        <v>4</v>
      </c>
      <c r="AC39">
        <v>4</v>
      </c>
      <c r="AD39">
        <v>4</v>
      </c>
      <c r="AE39">
        <v>5</v>
      </c>
      <c r="AF39">
        <v>4</v>
      </c>
      <c r="AG39">
        <v>5</v>
      </c>
    </row>
    <row r="40" spans="1:33" x14ac:dyDescent="0.2">
      <c r="A40" t="s">
        <v>31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K40" s="2" t="s">
        <v>31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3</v>
      </c>
      <c r="AA40" t="s">
        <v>31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</row>
    <row r="41" spans="1:33" x14ac:dyDescent="0.2">
      <c r="A41" t="s">
        <v>31</v>
      </c>
      <c r="B41">
        <v>4</v>
      </c>
      <c r="C41">
        <v>4</v>
      </c>
      <c r="D41">
        <v>5</v>
      </c>
      <c r="E41">
        <v>4</v>
      </c>
      <c r="F41">
        <v>5</v>
      </c>
      <c r="G41">
        <v>5</v>
      </c>
      <c r="K41" s="2" t="s">
        <v>31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AA41" t="s">
        <v>31</v>
      </c>
      <c r="AB41">
        <v>4</v>
      </c>
      <c r="AC41">
        <v>4</v>
      </c>
      <c r="AD41">
        <v>5</v>
      </c>
      <c r="AE41">
        <v>4</v>
      </c>
      <c r="AF41">
        <v>5</v>
      </c>
      <c r="AG41">
        <v>5</v>
      </c>
    </row>
    <row r="42" spans="1:33" x14ac:dyDescent="0.2">
      <c r="A42" t="s">
        <v>31</v>
      </c>
      <c r="B42">
        <v>5</v>
      </c>
      <c r="C42">
        <v>4</v>
      </c>
      <c r="D42">
        <v>4</v>
      </c>
      <c r="E42">
        <v>4</v>
      </c>
      <c r="F42">
        <v>4</v>
      </c>
      <c r="G42">
        <v>4</v>
      </c>
      <c r="K42" s="2" t="s">
        <v>31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AA42" t="s">
        <v>31</v>
      </c>
      <c r="AB42">
        <v>5</v>
      </c>
      <c r="AC42">
        <v>4</v>
      </c>
      <c r="AD42">
        <v>4</v>
      </c>
      <c r="AE42">
        <v>4</v>
      </c>
      <c r="AF42">
        <v>4</v>
      </c>
      <c r="AG42">
        <v>4</v>
      </c>
    </row>
    <row r="43" spans="1:33" x14ac:dyDescent="0.2">
      <c r="A43" t="s">
        <v>31</v>
      </c>
      <c r="B43">
        <v>5</v>
      </c>
      <c r="C43">
        <v>5</v>
      </c>
      <c r="D43">
        <v>5</v>
      </c>
      <c r="E43">
        <v>4</v>
      </c>
      <c r="F43">
        <v>5</v>
      </c>
      <c r="G43">
        <v>5</v>
      </c>
      <c r="K43" s="2" t="s">
        <v>31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AA43" t="s">
        <v>31</v>
      </c>
      <c r="AB43">
        <v>5</v>
      </c>
      <c r="AC43">
        <v>5</v>
      </c>
      <c r="AD43">
        <v>5</v>
      </c>
      <c r="AE43">
        <v>4</v>
      </c>
      <c r="AF43">
        <v>5</v>
      </c>
      <c r="AG43">
        <v>5</v>
      </c>
    </row>
    <row r="44" spans="1:33" x14ac:dyDescent="0.2">
      <c r="A44" t="s">
        <v>31</v>
      </c>
      <c r="B44">
        <v>5</v>
      </c>
      <c r="C44">
        <v>4</v>
      </c>
      <c r="D44">
        <v>3</v>
      </c>
      <c r="E44">
        <v>4</v>
      </c>
      <c r="F44">
        <v>3</v>
      </c>
      <c r="G44">
        <v>3</v>
      </c>
      <c r="K44" s="2" t="s">
        <v>31</v>
      </c>
      <c r="L44" s="2">
        <v>3</v>
      </c>
      <c r="M44" s="2">
        <v>3</v>
      </c>
      <c r="N44" s="2">
        <v>2</v>
      </c>
      <c r="O44" s="2">
        <v>3</v>
      </c>
      <c r="P44" s="2">
        <v>2</v>
      </c>
      <c r="Q44" s="2">
        <v>2</v>
      </c>
      <c r="AA44" t="s">
        <v>31</v>
      </c>
      <c r="AB44">
        <v>5</v>
      </c>
      <c r="AC44">
        <v>4</v>
      </c>
      <c r="AD44">
        <v>3</v>
      </c>
      <c r="AE44">
        <v>4</v>
      </c>
      <c r="AF44">
        <v>3</v>
      </c>
      <c r="AG44">
        <v>3</v>
      </c>
    </row>
    <row r="45" spans="1:33" x14ac:dyDescent="0.2">
      <c r="A45" t="s">
        <v>31</v>
      </c>
      <c r="B45">
        <v>5</v>
      </c>
      <c r="C45">
        <v>4</v>
      </c>
      <c r="D45">
        <v>4</v>
      </c>
      <c r="E45">
        <v>3</v>
      </c>
      <c r="F45">
        <v>5</v>
      </c>
      <c r="G45">
        <v>4</v>
      </c>
      <c r="K45" s="2" t="s">
        <v>31</v>
      </c>
      <c r="L45" s="2">
        <v>3</v>
      </c>
      <c r="M45" s="2">
        <v>3</v>
      </c>
      <c r="N45" s="2">
        <v>3</v>
      </c>
      <c r="O45" s="2">
        <v>2</v>
      </c>
      <c r="P45" s="2">
        <v>3</v>
      </c>
      <c r="Q45" s="2">
        <v>3</v>
      </c>
      <c r="AA45" t="s">
        <v>31</v>
      </c>
      <c r="AB45">
        <v>5</v>
      </c>
      <c r="AC45">
        <v>4</v>
      </c>
      <c r="AD45">
        <v>4</v>
      </c>
      <c r="AE45">
        <v>3</v>
      </c>
      <c r="AF45">
        <v>5</v>
      </c>
      <c r="AG45">
        <v>4</v>
      </c>
    </row>
    <row r="46" spans="1:33" x14ac:dyDescent="0.2">
      <c r="A46" t="s">
        <v>31</v>
      </c>
      <c r="B46">
        <v>5</v>
      </c>
      <c r="C46">
        <v>5</v>
      </c>
      <c r="D46">
        <v>5</v>
      </c>
      <c r="E46">
        <v>4</v>
      </c>
      <c r="F46">
        <v>5</v>
      </c>
      <c r="G46">
        <v>5</v>
      </c>
      <c r="K46" s="2" t="s">
        <v>31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AA46" t="s">
        <v>31</v>
      </c>
      <c r="AB46">
        <v>5</v>
      </c>
      <c r="AC46">
        <v>5</v>
      </c>
      <c r="AD46">
        <v>5</v>
      </c>
      <c r="AE46">
        <v>4</v>
      </c>
      <c r="AF46">
        <v>5</v>
      </c>
      <c r="AG46">
        <v>5</v>
      </c>
    </row>
    <row r="47" spans="1:33" x14ac:dyDescent="0.2">
      <c r="A47" t="s">
        <v>31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K47" s="2" t="s">
        <v>31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AA47" t="s">
        <v>31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</row>
    <row r="48" spans="1:33" x14ac:dyDescent="0.2">
      <c r="A48" t="s">
        <v>31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K48" s="2" t="s">
        <v>31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AA48" t="s">
        <v>31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</row>
    <row r="49" spans="1:35" x14ac:dyDescent="0.2">
      <c r="A49" t="s">
        <v>31</v>
      </c>
      <c r="B49">
        <v>5</v>
      </c>
      <c r="C49">
        <v>5</v>
      </c>
      <c r="D49">
        <v>4</v>
      </c>
      <c r="E49">
        <v>5</v>
      </c>
      <c r="F49">
        <v>5</v>
      </c>
      <c r="G49">
        <v>5</v>
      </c>
      <c r="K49" s="2" t="s">
        <v>31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AA49" t="s">
        <v>31</v>
      </c>
      <c r="AB49">
        <v>5</v>
      </c>
      <c r="AC49">
        <v>5</v>
      </c>
      <c r="AD49">
        <v>4</v>
      </c>
      <c r="AE49">
        <v>5</v>
      </c>
      <c r="AF49">
        <v>5</v>
      </c>
      <c r="AG49">
        <v>5</v>
      </c>
    </row>
    <row r="50" spans="1:35" x14ac:dyDescent="0.2">
      <c r="A50" t="s">
        <v>31</v>
      </c>
      <c r="B50">
        <v>5</v>
      </c>
      <c r="C50">
        <v>5</v>
      </c>
      <c r="D50">
        <v>5</v>
      </c>
      <c r="E50">
        <v>4</v>
      </c>
      <c r="F50">
        <v>5</v>
      </c>
      <c r="G50">
        <v>5</v>
      </c>
      <c r="K50" s="2" t="s">
        <v>31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AA50" t="s">
        <v>31</v>
      </c>
      <c r="AB50">
        <v>5</v>
      </c>
      <c r="AC50">
        <v>5</v>
      </c>
      <c r="AD50">
        <v>5</v>
      </c>
      <c r="AE50">
        <v>4</v>
      </c>
      <c r="AF50">
        <v>5</v>
      </c>
      <c r="AG50">
        <v>5</v>
      </c>
    </row>
    <row r="51" spans="1:35" x14ac:dyDescent="0.2">
      <c r="A51" t="s">
        <v>31</v>
      </c>
      <c r="B51">
        <v>4</v>
      </c>
      <c r="C51">
        <v>4</v>
      </c>
      <c r="D51">
        <v>4</v>
      </c>
      <c r="E51">
        <v>4</v>
      </c>
      <c r="F51">
        <v>5</v>
      </c>
      <c r="G51">
        <v>3</v>
      </c>
      <c r="K51" s="2" t="s">
        <v>31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2</v>
      </c>
      <c r="AA51" t="s">
        <v>31</v>
      </c>
      <c r="AB51">
        <v>4</v>
      </c>
      <c r="AC51">
        <v>4</v>
      </c>
      <c r="AD51">
        <v>4</v>
      </c>
      <c r="AE51">
        <v>4</v>
      </c>
      <c r="AF51">
        <v>5</v>
      </c>
      <c r="AG51">
        <v>3</v>
      </c>
    </row>
    <row r="52" spans="1:35" x14ac:dyDescent="0.2">
      <c r="A52" t="s">
        <v>31</v>
      </c>
      <c r="B52">
        <v>4</v>
      </c>
      <c r="C52">
        <v>4</v>
      </c>
      <c r="D52">
        <v>5</v>
      </c>
      <c r="E52">
        <v>5</v>
      </c>
      <c r="F52">
        <v>5</v>
      </c>
      <c r="G52">
        <v>5</v>
      </c>
      <c r="K52" s="2" t="s">
        <v>31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AA52" t="s">
        <v>31</v>
      </c>
      <c r="AB52">
        <v>4</v>
      </c>
      <c r="AC52">
        <v>4</v>
      </c>
      <c r="AD52">
        <v>5</v>
      </c>
      <c r="AE52">
        <v>5</v>
      </c>
      <c r="AF52">
        <v>5</v>
      </c>
      <c r="AG52">
        <v>5</v>
      </c>
    </row>
    <row r="53" spans="1:35" x14ac:dyDescent="0.2">
      <c r="A53" t="s">
        <v>31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K53" s="2" t="s">
        <v>31</v>
      </c>
      <c r="L53" s="2">
        <v>3</v>
      </c>
      <c r="M53" s="2">
        <v>3</v>
      </c>
      <c r="N53" s="2">
        <v>3</v>
      </c>
      <c r="O53" s="2">
        <v>3</v>
      </c>
      <c r="P53" s="2">
        <v>3</v>
      </c>
      <c r="Q53" s="2">
        <v>3</v>
      </c>
      <c r="AA53" t="s">
        <v>31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</row>
    <row r="54" spans="1:35" x14ac:dyDescent="0.2">
      <c r="A54" t="s">
        <v>31</v>
      </c>
      <c r="B54">
        <v>4</v>
      </c>
      <c r="C54">
        <v>3</v>
      </c>
      <c r="D54">
        <v>4</v>
      </c>
      <c r="E54">
        <v>3</v>
      </c>
      <c r="F54">
        <v>4</v>
      </c>
      <c r="G54">
        <v>3</v>
      </c>
      <c r="K54" s="2" t="s">
        <v>31</v>
      </c>
      <c r="L54" s="2">
        <v>3</v>
      </c>
      <c r="M54" s="2">
        <v>2</v>
      </c>
      <c r="N54" s="2">
        <v>3</v>
      </c>
      <c r="O54" s="2">
        <v>2</v>
      </c>
      <c r="P54" s="2">
        <v>3</v>
      </c>
      <c r="Q54" s="2">
        <v>2</v>
      </c>
      <c r="AA54" t="s">
        <v>31</v>
      </c>
      <c r="AB54">
        <v>4</v>
      </c>
      <c r="AC54">
        <v>3</v>
      </c>
      <c r="AD54">
        <v>4</v>
      </c>
      <c r="AE54">
        <v>3</v>
      </c>
      <c r="AF54">
        <v>4</v>
      </c>
      <c r="AG54">
        <v>3</v>
      </c>
    </row>
    <row r="55" spans="1:35" x14ac:dyDescent="0.2">
      <c r="A55" t="s">
        <v>31</v>
      </c>
      <c r="B55">
        <v>4</v>
      </c>
      <c r="C55">
        <v>3</v>
      </c>
      <c r="D55">
        <v>3</v>
      </c>
      <c r="E55">
        <v>4</v>
      </c>
      <c r="F55">
        <v>3</v>
      </c>
      <c r="G55">
        <v>4</v>
      </c>
      <c r="K55" s="2" t="s">
        <v>31</v>
      </c>
      <c r="L55" s="2">
        <v>3</v>
      </c>
      <c r="M55" s="2">
        <v>2</v>
      </c>
      <c r="N55" s="2">
        <v>2</v>
      </c>
      <c r="O55" s="2">
        <v>3</v>
      </c>
      <c r="P55" s="2">
        <v>2</v>
      </c>
      <c r="Q55" s="2">
        <v>3</v>
      </c>
      <c r="AA55" t="s">
        <v>31</v>
      </c>
      <c r="AB55">
        <v>4</v>
      </c>
      <c r="AC55">
        <v>3</v>
      </c>
      <c r="AD55">
        <v>3</v>
      </c>
      <c r="AE55">
        <v>4</v>
      </c>
      <c r="AF55">
        <v>3</v>
      </c>
      <c r="AG55">
        <v>4</v>
      </c>
    </row>
    <row r="56" spans="1:35" x14ac:dyDescent="0.2">
      <c r="A56" t="s">
        <v>31</v>
      </c>
      <c r="B56">
        <v>4</v>
      </c>
      <c r="C56">
        <v>4</v>
      </c>
      <c r="D56">
        <v>4</v>
      </c>
      <c r="E56">
        <v>3</v>
      </c>
      <c r="F56">
        <v>5</v>
      </c>
      <c r="G56">
        <v>3</v>
      </c>
      <c r="K56" s="2" t="s">
        <v>31</v>
      </c>
      <c r="L56" s="2">
        <v>3</v>
      </c>
      <c r="M56" s="2">
        <v>3</v>
      </c>
      <c r="N56" s="2">
        <v>3</v>
      </c>
      <c r="O56" s="2">
        <v>2</v>
      </c>
      <c r="P56" s="2">
        <v>3</v>
      </c>
      <c r="Q56" s="2">
        <v>2</v>
      </c>
      <c r="AA56" t="s">
        <v>31</v>
      </c>
      <c r="AB56">
        <v>4</v>
      </c>
      <c r="AC56">
        <v>4</v>
      </c>
      <c r="AD56">
        <v>4</v>
      </c>
      <c r="AE56">
        <v>3</v>
      </c>
      <c r="AF56">
        <v>5</v>
      </c>
      <c r="AG56">
        <v>3</v>
      </c>
    </row>
    <row r="57" spans="1:35" x14ac:dyDescent="0.2">
      <c r="A57" t="s">
        <v>31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K57" s="2" t="s">
        <v>31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AA57" t="s">
        <v>31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</row>
    <row r="58" spans="1:35" x14ac:dyDescent="0.2">
      <c r="A58" t="s">
        <v>31</v>
      </c>
      <c r="B58">
        <v>5</v>
      </c>
      <c r="C58">
        <v>5</v>
      </c>
      <c r="D58">
        <v>4</v>
      </c>
      <c r="E58">
        <v>4</v>
      </c>
      <c r="F58">
        <v>5</v>
      </c>
      <c r="G58">
        <v>5</v>
      </c>
      <c r="K58" s="2" t="s">
        <v>31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AA58" t="s">
        <v>31</v>
      </c>
      <c r="AB58">
        <v>5</v>
      </c>
      <c r="AC58">
        <v>5</v>
      </c>
      <c r="AD58">
        <v>4</v>
      </c>
      <c r="AE58">
        <v>4</v>
      </c>
      <c r="AF58">
        <v>5</v>
      </c>
      <c r="AG58">
        <v>5</v>
      </c>
    </row>
    <row r="59" spans="1:35" x14ac:dyDescent="0.2">
      <c r="A59" t="s">
        <v>31</v>
      </c>
      <c r="B59">
        <v>5</v>
      </c>
      <c r="C59">
        <v>5</v>
      </c>
      <c r="D59">
        <v>4</v>
      </c>
      <c r="E59">
        <v>4</v>
      </c>
      <c r="F59">
        <v>4</v>
      </c>
      <c r="G59">
        <v>3</v>
      </c>
      <c r="K59" s="2" t="s">
        <v>31</v>
      </c>
      <c r="L59" s="2">
        <v>3</v>
      </c>
      <c r="M59" s="2">
        <v>3</v>
      </c>
      <c r="N59" s="2">
        <v>3</v>
      </c>
      <c r="O59" s="2">
        <v>3</v>
      </c>
      <c r="P59" s="2">
        <v>3</v>
      </c>
      <c r="Q59" s="2">
        <v>2</v>
      </c>
      <c r="AA59" t="s">
        <v>31</v>
      </c>
      <c r="AB59">
        <v>5</v>
      </c>
      <c r="AC59">
        <v>5</v>
      </c>
      <c r="AD59">
        <v>4</v>
      </c>
      <c r="AE59">
        <v>4</v>
      </c>
      <c r="AF59">
        <v>4</v>
      </c>
      <c r="AG59">
        <v>3</v>
      </c>
    </row>
    <row r="60" spans="1:35" x14ac:dyDescent="0.2">
      <c r="A60" t="s">
        <v>31</v>
      </c>
      <c r="B60">
        <v>4</v>
      </c>
      <c r="C60">
        <v>5</v>
      </c>
      <c r="D60">
        <v>4</v>
      </c>
      <c r="E60">
        <v>3</v>
      </c>
      <c r="F60">
        <v>4</v>
      </c>
      <c r="G60">
        <v>3</v>
      </c>
      <c r="K60" s="2" t="s">
        <v>31</v>
      </c>
      <c r="L60" s="2">
        <v>3</v>
      </c>
      <c r="M60" s="2">
        <v>3</v>
      </c>
      <c r="N60" s="2">
        <v>3</v>
      </c>
      <c r="O60" s="2">
        <v>2</v>
      </c>
      <c r="P60" s="2">
        <v>3</v>
      </c>
      <c r="Q60" s="2">
        <v>2</v>
      </c>
      <c r="AA60" t="s">
        <v>31</v>
      </c>
      <c r="AB60">
        <v>4</v>
      </c>
      <c r="AC60">
        <v>5</v>
      </c>
      <c r="AD60">
        <v>4</v>
      </c>
      <c r="AE60">
        <v>3</v>
      </c>
      <c r="AF60">
        <v>4</v>
      </c>
      <c r="AG60">
        <v>3</v>
      </c>
    </row>
    <row r="61" spans="1:35" x14ac:dyDescent="0.2">
      <c r="A61" s="4" t="s">
        <v>50</v>
      </c>
      <c r="B61" s="5">
        <f>AVERAGE(B4:B60)</f>
        <v>4.4385964912280702</v>
      </c>
      <c r="C61" s="5">
        <f>AVERAGE(C4:C60)</f>
        <v>4.0526315789473681</v>
      </c>
      <c r="D61" s="5">
        <f t="shared" ref="D61:G61" si="0">AVERAGE(D4:D60)</f>
        <v>4</v>
      </c>
      <c r="E61" s="5">
        <f>AVERAGE(E4:E60)</f>
        <v>3.6842105263157894</v>
      </c>
      <c r="F61" s="5">
        <f t="shared" si="0"/>
        <v>4.2456140350877192</v>
      </c>
      <c r="G61" s="5">
        <f t="shared" si="0"/>
        <v>3.9473684210526314</v>
      </c>
    </row>
    <row r="62" spans="1:35" x14ac:dyDescent="0.2">
      <c r="K62" s="2"/>
      <c r="L62" s="2" t="s">
        <v>2</v>
      </c>
      <c r="M62" s="2" t="s">
        <v>3</v>
      </c>
      <c r="N62" s="2" t="s">
        <v>6</v>
      </c>
      <c r="O62" s="2" t="s">
        <v>10</v>
      </c>
      <c r="P62" s="2" t="s">
        <v>20</v>
      </c>
      <c r="Q62" s="2" t="s">
        <v>26</v>
      </c>
      <c r="Z62" s="8"/>
      <c r="AA62" s="7" t="s">
        <v>46</v>
      </c>
      <c r="AB62" s="7" t="s">
        <v>36</v>
      </c>
      <c r="AC62" s="7" t="s">
        <v>36</v>
      </c>
      <c r="AD62" s="7" t="s">
        <v>36</v>
      </c>
      <c r="AE62" s="7" t="s">
        <v>36</v>
      </c>
      <c r="AF62" s="7" t="s">
        <v>36</v>
      </c>
      <c r="AG62" s="7" t="s">
        <v>36</v>
      </c>
      <c r="AH62" s="8"/>
      <c r="AI62" s="8"/>
    </row>
    <row r="63" spans="1:35" x14ac:dyDescent="0.2">
      <c r="J63" s="2" t="s">
        <v>53</v>
      </c>
      <c r="Z63" s="8"/>
      <c r="AA63" s="8"/>
      <c r="AB63" s="8" t="s">
        <v>2</v>
      </c>
      <c r="AC63" s="8" t="s">
        <v>3</v>
      </c>
      <c r="AD63" s="8" t="s">
        <v>6</v>
      </c>
      <c r="AE63" s="8" t="s">
        <v>10</v>
      </c>
      <c r="AF63" s="8" t="s">
        <v>20</v>
      </c>
      <c r="AG63" s="8" t="s">
        <v>26</v>
      </c>
      <c r="AH63" s="8"/>
      <c r="AI63" s="8"/>
    </row>
    <row r="64" spans="1:35" x14ac:dyDescent="0.2">
      <c r="B64" t="s">
        <v>2</v>
      </c>
      <c r="C64" t="s">
        <v>3</v>
      </c>
      <c r="D64" t="s">
        <v>6</v>
      </c>
      <c r="E64" t="s">
        <v>10</v>
      </c>
      <c r="F64" t="s">
        <v>20</v>
      </c>
      <c r="G64" t="s">
        <v>26</v>
      </c>
      <c r="J64">
        <v>1</v>
      </c>
      <c r="K64" t="s">
        <v>54</v>
      </c>
      <c r="L64">
        <f>COUNTIF(L$4:L$60,$J64)</f>
        <v>0</v>
      </c>
      <c r="M64">
        <f t="shared" ref="M64:Q64" si="1">COUNTIF(M$4:M$60,$J64)</f>
        <v>0</v>
      </c>
      <c r="N64">
        <f t="shared" si="1"/>
        <v>1</v>
      </c>
      <c r="O64">
        <f t="shared" si="1"/>
        <v>3</v>
      </c>
      <c r="P64">
        <f t="shared" si="1"/>
        <v>0</v>
      </c>
      <c r="Q64">
        <f t="shared" si="1"/>
        <v>1</v>
      </c>
      <c r="Z64" s="8">
        <v>4</v>
      </c>
      <c r="AA64" s="8" t="s">
        <v>44</v>
      </c>
      <c r="AB64">
        <f>COUNTIF(AB$3:AB$59,$Z64)</f>
        <v>27</v>
      </c>
      <c r="AC64">
        <f t="shared" ref="AC64:AG65" si="2">COUNTIF(AC$3:AC$59,$Z64)</f>
        <v>26</v>
      </c>
      <c r="AD64">
        <f t="shared" si="2"/>
        <v>31</v>
      </c>
      <c r="AE64">
        <f t="shared" si="2"/>
        <v>22</v>
      </c>
      <c r="AF64">
        <f t="shared" si="2"/>
        <v>22</v>
      </c>
      <c r="AG64">
        <f t="shared" si="2"/>
        <v>23</v>
      </c>
      <c r="AH64" s="8"/>
      <c r="AI64" s="8"/>
    </row>
    <row r="65" spans="1:35" x14ac:dyDescent="0.2">
      <c r="A65" s="4" t="s">
        <v>52</v>
      </c>
      <c r="B65" s="5">
        <f>AVERAGE(B16:B22,B4)</f>
        <v>4.625</v>
      </c>
      <c r="C65" s="5">
        <f t="shared" ref="C65:G65" si="3">AVERAGE(C16:C22,C4)</f>
        <v>4.125</v>
      </c>
      <c r="D65" s="5">
        <f t="shared" si="3"/>
        <v>4</v>
      </c>
      <c r="E65" s="5">
        <f t="shared" si="3"/>
        <v>3.625</v>
      </c>
      <c r="F65" s="5">
        <f t="shared" si="3"/>
        <v>4.375</v>
      </c>
      <c r="G65" s="5">
        <f t="shared" si="3"/>
        <v>4</v>
      </c>
      <c r="J65">
        <v>2</v>
      </c>
      <c r="K65" t="s">
        <v>55</v>
      </c>
      <c r="L65">
        <f t="shared" ref="L65:Q66" si="4">COUNTIF(L$4:L$60,$J65)</f>
        <v>2</v>
      </c>
      <c r="M65">
        <f t="shared" si="4"/>
        <v>14</v>
      </c>
      <c r="N65">
        <f t="shared" si="4"/>
        <v>11</v>
      </c>
      <c r="O65">
        <f t="shared" si="4"/>
        <v>22</v>
      </c>
      <c r="P65">
        <f t="shared" si="4"/>
        <v>10</v>
      </c>
      <c r="Q65">
        <f t="shared" si="4"/>
        <v>17</v>
      </c>
      <c r="Z65" s="8">
        <v>5</v>
      </c>
      <c r="AA65" s="8" t="s">
        <v>45</v>
      </c>
      <c r="AB65">
        <f>COUNTIF(AB$3:AB$59,$Z65)</f>
        <v>27</v>
      </c>
      <c r="AC65">
        <f t="shared" si="2"/>
        <v>16</v>
      </c>
      <c r="AD65">
        <f>COUNTIF(AD$3:AD$59,$Z65)</f>
        <v>13</v>
      </c>
      <c r="AE65">
        <f t="shared" si="2"/>
        <v>10</v>
      </c>
      <c r="AF65">
        <f t="shared" si="2"/>
        <v>24</v>
      </c>
      <c r="AG65">
        <f t="shared" si="2"/>
        <v>16</v>
      </c>
      <c r="AH65" s="8"/>
      <c r="AI65" s="8"/>
    </row>
    <row r="66" spans="1:35" x14ac:dyDescent="0.2">
      <c r="J66">
        <v>3</v>
      </c>
      <c r="K66" t="s">
        <v>56</v>
      </c>
      <c r="L66">
        <f t="shared" si="4"/>
        <v>55</v>
      </c>
      <c r="M66">
        <f t="shared" si="4"/>
        <v>43</v>
      </c>
      <c r="N66">
        <f t="shared" si="4"/>
        <v>45</v>
      </c>
      <c r="O66">
        <f t="shared" si="4"/>
        <v>32</v>
      </c>
      <c r="P66">
        <f t="shared" si="4"/>
        <v>47</v>
      </c>
      <c r="Q66">
        <f t="shared" si="4"/>
        <v>39</v>
      </c>
      <c r="Z66" s="8"/>
      <c r="AA66" s="12" t="s">
        <v>57</v>
      </c>
      <c r="AB66" s="9">
        <f>SUM(AB64:AB65)</f>
        <v>54</v>
      </c>
      <c r="AC66" s="9">
        <f t="shared" ref="AC66:AG66" si="5">SUM(AC64:AC65)</f>
        <v>42</v>
      </c>
      <c r="AD66" s="9">
        <f t="shared" si="5"/>
        <v>44</v>
      </c>
      <c r="AE66" s="9">
        <f t="shared" si="5"/>
        <v>32</v>
      </c>
      <c r="AF66" s="9">
        <f t="shared" si="5"/>
        <v>46</v>
      </c>
      <c r="AG66" s="9">
        <f t="shared" si="5"/>
        <v>39</v>
      </c>
      <c r="AH66" s="8"/>
      <c r="AI66" s="8"/>
    </row>
    <row r="67" spans="1:35" x14ac:dyDescent="0.2">
      <c r="B67" t="s">
        <v>2</v>
      </c>
      <c r="C67" t="s">
        <v>3</v>
      </c>
      <c r="D67" t="s">
        <v>6</v>
      </c>
      <c r="E67" t="s">
        <v>10</v>
      </c>
      <c r="F67" t="s">
        <v>20</v>
      </c>
      <c r="G67" t="s">
        <v>26</v>
      </c>
      <c r="L67" s="2" t="s">
        <v>2</v>
      </c>
      <c r="M67" s="2" t="s">
        <v>3</v>
      </c>
      <c r="N67" s="2" t="s">
        <v>6</v>
      </c>
      <c r="O67" s="2" t="s">
        <v>10</v>
      </c>
      <c r="P67" s="2" t="s">
        <v>20</v>
      </c>
      <c r="Q67" s="2" t="s">
        <v>26</v>
      </c>
      <c r="Z67" s="8"/>
      <c r="AA67" s="13" t="s">
        <v>58</v>
      </c>
      <c r="AB67" s="11">
        <f>AB66/57</f>
        <v>0.94736842105263153</v>
      </c>
      <c r="AC67" s="11">
        <f t="shared" ref="AC67:AG67" si="6">AC66/57</f>
        <v>0.73684210526315785</v>
      </c>
      <c r="AD67" s="11">
        <f t="shared" si="6"/>
        <v>0.77192982456140347</v>
      </c>
      <c r="AE67" s="11">
        <f t="shared" si="6"/>
        <v>0.56140350877192979</v>
      </c>
      <c r="AF67" s="11">
        <f t="shared" si="6"/>
        <v>0.80701754385964908</v>
      </c>
      <c r="AG67" s="11">
        <f t="shared" si="6"/>
        <v>0.68421052631578949</v>
      </c>
      <c r="AH67" s="8"/>
      <c r="AI67" s="8"/>
    </row>
    <row r="68" spans="1:35" x14ac:dyDescent="0.2">
      <c r="A68" s="4" t="s">
        <v>32</v>
      </c>
      <c r="B68" s="5">
        <f>AVERAGE(B5:B15)</f>
        <v>4.6363636363636367</v>
      </c>
      <c r="C68" s="5">
        <f t="shared" ref="C68:G68" si="7">AVERAGE(C5:C15)</f>
        <v>3.7272727272727271</v>
      </c>
      <c r="D68" s="5">
        <f t="shared" si="7"/>
        <v>3.8181818181818183</v>
      </c>
      <c r="E68" s="5">
        <f t="shared" si="7"/>
        <v>3.7272727272727271</v>
      </c>
      <c r="F68" s="5">
        <f t="shared" si="7"/>
        <v>3.9090909090909092</v>
      </c>
      <c r="G68" s="5">
        <f t="shared" si="7"/>
        <v>3.8181818181818183</v>
      </c>
      <c r="K68" s="3" t="s">
        <v>54</v>
      </c>
      <c r="L68" s="6">
        <f>L64/57</f>
        <v>0</v>
      </c>
      <c r="M68" s="6">
        <f t="shared" ref="M68:Q68" si="8">M64/57</f>
        <v>0</v>
      </c>
      <c r="N68" s="6">
        <f t="shared" si="8"/>
        <v>1.7543859649122806E-2</v>
      </c>
      <c r="O68" s="6">
        <f t="shared" si="8"/>
        <v>5.2631578947368418E-2</v>
      </c>
      <c r="P68" s="6">
        <f t="shared" si="8"/>
        <v>0</v>
      </c>
      <c r="Q68" s="6">
        <f t="shared" si="8"/>
        <v>1.7543859649122806E-2</v>
      </c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 x14ac:dyDescent="0.2">
      <c r="K69" s="3" t="s">
        <v>55</v>
      </c>
      <c r="L69" s="6">
        <f t="shared" ref="L69:Q70" si="9">L65/57</f>
        <v>3.5087719298245612E-2</v>
      </c>
      <c r="M69" s="6">
        <f t="shared" si="9"/>
        <v>0.24561403508771928</v>
      </c>
      <c r="N69" s="6">
        <f t="shared" si="9"/>
        <v>0.19298245614035087</v>
      </c>
      <c r="O69" s="6">
        <f t="shared" si="9"/>
        <v>0.38596491228070173</v>
      </c>
      <c r="P69" s="6">
        <f t="shared" si="9"/>
        <v>0.17543859649122806</v>
      </c>
      <c r="Q69" s="6">
        <f t="shared" si="9"/>
        <v>0.2982456140350877</v>
      </c>
      <c r="Z69" s="8"/>
      <c r="AA69" s="7" t="s">
        <v>33</v>
      </c>
      <c r="AB69" s="7" t="s">
        <v>36</v>
      </c>
      <c r="AC69" s="7" t="s">
        <v>36</v>
      </c>
      <c r="AD69" s="7" t="s">
        <v>36</v>
      </c>
      <c r="AE69" s="7" t="s">
        <v>36</v>
      </c>
      <c r="AF69" s="7" t="s">
        <v>36</v>
      </c>
      <c r="AG69" s="7" t="s">
        <v>36</v>
      </c>
      <c r="AH69" s="8"/>
      <c r="AI69" s="8"/>
    </row>
    <row r="70" spans="1:35" x14ac:dyDescent="0.2">
      <c r="B70" t="s">
        <v>2</v>
      </c>
      <c r="C70" t="s">
        <v>3</v>
      </c>
      <c r="D70" t="s">
        <v>6</v>
      </c>
      <c r="E70" t="s">
        <v>10</v>
      </c>
      <c r="F70" t="s">
        <v>20</v>
      </c>
      <c r="G70" t="s">
        <v>26</v>
      </c>
      <c r="K70" s="3" t="s">
        <v>56</v>
      </c>
      <c r="L70" s="6">
        <f t="shared" si="9"/>
        <v>0.96491228070175439</v>
      </c>
      <c r="M70" s="6">
        <f t="shared" si="9"/>
        <v>0.75438596491228072</v>
      </c>
      <c r="N70" s="6">
        <f t="shared" si="9"/>
        <v>0.78947368421052633</v>
      </c>
      <c r="O70" s="6">
        <f t="shared" si="9"/>
        <v>0.56140350877192979</v>
      </c>
      <c r="P70" s="6">
        <f t="shared" si="9"/>
        <v>0.82456140350877194</v>
      </c>
      <c r="Q70" s="6">
        <f t="shared" si="9"/>
        <v>0.68421052631578949</v>
      </c>
      <c r="Z70" s="8"/>
      <c r="AA70" s="8"/>
      <c r="AB70" s="8" t="s">
        <v>2</v>
      </c>
      <c r="AC70" s="8" t="s">
        <v>3</v>
      </c>
      <c r="AD70" s="8" t="s">
        <v>6</v>
      </c>
      <c r="AE70" s="8" t="s">
        <v>10</v>
      </c>
      <c r="AF70" s="8" t="s">
        <v>20</v>
      </c>
      <c r="AG70" s="8" t="s">
        <v>26</v>
      </c>
      <c r="AH70" s="8"/>
      <c r="AI70" s="8"/>
    </row>
    <row r="71" spans="1:35" x14ac:dyDescent="0.2">
      <c r="A71" s="4" t="s">
        <v>31</v>
      </c>
      <c r="B71" s="5">
        <f>AVERAGE(B23:B60)</f>
        <v>4.3421052631578947</v>
      </c>
      <c r="C71" s="5">
        <f t="shared" ref="C71:G71" si="10">AVERAGE(C23:C60)</f>
        <v>4.1315789473684212</v>
      </c>
      <c r="D71" s="5">
        <f t="shared" si="10"/>
        <v>4.0526315789473681</v>
      </c>
      <c r="E71" s="5">
        <f t="shared" si="10"/>
        <v>3.6842105263157894</v>
      </c>
      <c r="F71" s="5">
        <f t="shared" si="10"/>
        <v>4.3157894736842106</v>
      </c>
      <c r="G71" s="5">
        <f t="shared" si="10"/>
        <v>3.9736842105263159</v>
      </c>
      <c r="Z71" s="8">
        <v>4</v>
      </c>
      <c r="AA71" s="8" t="s">
        <v>44</v>
      </c>
      <c r="AB71">
        <f>COUNTIFS(AB$4:AB$60,$Z71,$AA4:$AA60,$AA$69)</f>
        <v>3</v>
      </c>
      <c r="AC71">
        <f t="shared" ref="AC71:AG71" si="11">COUNTIFS(AC$4:AC$60,$Z71,$AA4:$AA60,$AA$69)</f>
        <v>5</v>
      </c>
      <c r="AD71">
        <f t="shared" si="11"/>
        <v>6</v>
      </c>
      <c r="AE71">
        <f t="shared" si="11"/>
        <v>2</v>
      </c>
      <c r="AF71">
        <f t="shared" si="11"/>
        <v>3</v>
      </c>
      <c r="AG71">
        <f t="shared" si="11"/>
        <v>6</v>
      </c>
      <c r="AH71" s="8"/>
      <c r="AI71" s="8"/>
    </row>
    <row r="72" spans="1:35" x14ac:dyDescent="0.2">
      <c r="J72" s="2" t="s">
        <v>33</v>
      </c>
      <c r="Z72" s="8">
        <v>5</v>
      </c>
      <c r="AA72" s="8" t="s">
        <v>45</v>
      </c>
      <c r="AB72">
        <f>COUNTIFS(AB$4:AB$60,$Z72,$AA5:$AA61,$AA$69)</f>
        <v>4</v>
      </c>
      <c r="AC72">
        <f t="shared" ref="AC72:AG72" si="12">COUNTIFS(AC$4:AC$60,$Z72,$AA5:$AA61,$AA$69)</f>
        <v>1</v>
      </c>
      <c r="AD72">
        <f t="shared" si="12"/>
        <v>1</v>
      </c>
      <c r="AE72">
        <f t="shared" si="12"/>
        <v>2</v>
      </c>
      <c r="AF72">
        <f t="shared" si="12"/>
        <v>2</v>
      </c>
      <c r="AG72">
        <f t="shared" si="12"/>
        <v>1</v>
      </c>
      <c r="AH72" s="8"/>
      <c r="AI72" s="8"/>
    </row>
    <row r="73" spans="1:35" x14ac:dyDescent="0.2">
      <c r="J73">
        <v>1</v>
      </c>
      <c r="K73" t="s">
        <v>54</v>
      </c>
      <c r="L73">
        <f>COUNTIFS(L$4:L$60,$J73,$K$4:$K$60,$J$72)</f>
        <v>0</v>
      </c>
      <c r="M73">
        <f t="shared" ref="M73:Q73" si="13">COUNTIFS(M$4:M$60,$J73,$K$4:$K$60,$J$72)</f>
        <v>0</v>
      </c>
      <c r="N73">
        <f t="shared" si="13"/>
        <v>0</v>
      </c>
      <c r="O73">
        <f t="shared" si="13"/>
        <v>1</v>
      </c>
      <c r="P73">
        <f t="shared" si="13"/>
        <v>0</v>
      </c>
      <c r="Q73">
        <f t="shared" si="13"/>
        <v>0</v>
      </c>
      <c r="Z73" s="8"/>
      <c r="AA73" s="12" t="s">
        <v>57</v>
      </c>
      <c r="AB73" s="9">
        <f>SUM(AB71:AB72)</f>
        <v>7</v>
      </c>
      <c r="AC73" s="9">
        <f t="shared" ref="AC73:AG73" si="14">SUM(AC71:AC72)</f>
        <v>6</v>
      </c>
      <c r="AD73" s="9">
        <f t="shared" si="14"/>
        <v>7</v>
      </c>
      <c r="AE73" s="9">
        <f t="shared" si="14"/>
        <v>4</v>
      </c>
      <c r="AF73" s="9">
        <f t="shared" si="14"/>
        <v>5</v>
      </c>
      <c r="AG73" s="9">
        <f t="shared" si="14"/>
        <v>7</v>
      </c>
      <c r="AH73" s="8"/>
      <c r="AI73" s="8"/>
    </row>
    <row r="74" spans="1:35" x14ac:dyDescent="0.2">
      <c r="J74">
        <v>2</v>
      </c>
      <c r="K74" t="s">
        <v>55</v>
      </c>
      <c r="L74">
        <f t="shared" ref="L74:Q75" si="15">COUNTIFS(L$4:L$60,$J74,$K$4:$K$60,$J$72)</f>
        <v>0</v>
      </c>
      <c r="M74">
        <f t="shared" si="15"/>
        <v>1</v>
      </c>
      <c r="N74">
        <f t="shared" si="15"/>
        <v>1</v>
      </c>
      <c r="O74">
        <f t="shared" si="15"/>
        <v>3</v>
      </c>
      <c r="P74">
        <f t="shared" si="15"/>
        <v>1</v>
      </c>
      <c r="Q74">
        <f t="shared" si="15"/>
        <v>1</v>
      </c>
      <c r="Z74" s="8"/>
      <c r="AA74" s="13" t="s">
        <v>59</v>
      </c>
      <c r="AB74" s="14">
        <f>AB73/8</f>
        <v>0.875</v>
      </c>
      <c r="AC74" s="14">
        <f t="shared" ref="AC74:AG74" si="16">AC73/8</f>
        <v>0.75</v>
      </c>
      <c r="AD74" s="14">
        <f t="shared" si="16"/>
        <v>0.875</v>
      </c>
      <c r="AE74" s="14">
        <f t="shared" si="16"/>
        <v>0.5</v>
      </c>
      <c r="AF74" s="14">
        <f t="shared" si="16"/>
        <v>0.625</v>
      </c>
      <c r="AG74" s="14">
        <f t="shared" si="16"/>
        <v>0.875</v>
      </c>
      <c r="AH74" s="8"/>
      <c r="AI74" s="8"/>
    </row>
    <row r="75" spans="1:35" x14ac:dyDescent="0.2">
      <c r="A75" t="s">
        <v>52</v>
      </c>
      <c r="J75">
        <v>3</v>
      </c>
      <c r="K75" t="s">
        <v>56</v>
      </c>
      <c r="L75">
        <f t="shared" si="15"/>
        <v>8</v>
      </c>
      <c r="M75">
        <f t="shared" si="15"/>
        <v>7</v>
      </c>
      <c r="N75">
        <f t="shared" si="15"/>
        <v>7</v>
      </c>
      <c r="O75">
        <f t="shared" si="15"/>
        <v>4</v>
      </c>
      <c r="P75">
        <f t="shared" si="15"/>
        <v>7</v>
      </c>
      <c r="Q75">
        <f>COUNTIFS(Q$4:Q$60,$J75,$K$4:$K$60,$J$72)</f>
        <v>7</v>
      </c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x14ac:dyDescent="0.2">
      <c r="L76" s="2" t="s">
        <v>2</v>
      </c>
      <c r="M76" s="2" t="s">
        <v>3</v>
      </c>
      <c r="N76" s="2" t="s">
        <v>6</v>
      </c>
      <c r="O76" s="2" t="s">
        <v>10</v>
      </c>
      <c r="P76" s="2" t="s">
        <v>20</v>
      </c>
      <c r="Q76" s="2" t="s">
        <v>26</v>
      </c>
      <c r="Z76" s="8"/>
      <c r="AA76" s="7" t="s">
        <v>32</v>
      </c>
      <c r="AB76" s="7" t="s">
        <v>36</v>
      </c>
      <c r="AC76" s="7" t="s">
        <v>36</v>
      </c>
      <c r="AD76" s="7" t="s">
        <v>36</v>
      </c>
      <c r="AE76" s="7" t="s">
        <v>36</v>
      </c>
      <c r="AF76" s="7" t="s">
        <v>36</v>
      </c>
      <c r="AG76" s="7" t="s">
        <v>36</v>
      </c>
      <c r="AH76" s="8"/>
      <c r="AI76" s="8"/>
    </row>
    <row r="77" spans="1:35" x14ac:dyDescent="0.2">
      <c r="K77" s="3" t="s">
        <v>54</v>
      </c>
      <c r="L77" s="6">
        <f>L73/8</f>
        <v>0</v>
      </c>
      <c r="M77" s="6">
        <f t="shared" ref="M77:Q77" si="17">M73/8</f>
        <v>0</v>
      </c>
      <c r="N77" s="6">
        <f t="shared" si="17"/>
        <v>0</v>
      </c>
      <c r="O77" s="6">
        <f t="shared" si="17"/>
        <v>0.125</v>
      </c>
      <c r="P77" s="6">
        <f t="shared" si="17"/>
        <v>0</v>
      </c>
      <c r="Q77" s="6">
        <f t="shared" si="17"/>
        <v>0</v>
      </c>
      <c r="Z77" s="8"/>
      <c r="AA77" s="8"/>
      <c r="AB77" s="8" t="s">
        <v>2</v>
      </c>
      <c r="AC77" s="8" t="s">
        <v>3</v>
      </c>
      <c r="AD77" s="8" t="s">
        <v>6</v>
      </c>
      <c r="AE77" s="8" t="s">
        <v>10</v>
      </c>
      <c r="AF77" s="8" t="s">
        <v>20</v>
      </c>
      <c r="AG77" s="8" t="s">
        <v>26</v>
      </c>
      <c r="AH77" s="8"/>
      <c r="AI77" s="8"/>
    </row>
    <row r="78" spans="1:35" x14ac:dyDescent="0.2">
      <c r="K78" s="3" t="s">
        <v>55</v>
      </c>
      <c r="L78" s="6">
        <f t="shared" ref="L78:Q79" si="18">L74/8</f>
        <v>0</v>
      </c>
      <c r="M78" s="6">
        <f t="shared" si="18"/>
        <v>0.125</v>
      </c>
      <c r="N78" s="6">
        <f t="shared" si="18"/>
        <v>0.125</v>
      </c>
      <c r="O78" s="6">
        <f t="shared" si="18"/>
        <v>0.375</v>
      </c>
      <c r="P78" s="6">
        <f t="shared" si="18"/>
        <v>0.125</v>
      </c>
      <c r="Q78" s="6">
        <f t="shared" si="18"/>
        <v>0.125</v>
      </c>
      <c r="Z78" s="8">
        <v>4</v>
      </c>
      <c r="AA78" s="8" t="s">
        <v>44</v>
      </c>
      <c r="AB78">
        <f>COUNTIFS(AB$4:AB$60,$Z78,$AA4:$AA60,$AA$76)</f>
        <v>4</v>
      </c>
      <c r="AC78">
        <f t="shared" ref="AC78:AG78" si="19">COUNTIFS(AC$4:AC$60,$Z78,$AA4:$AA60,$AA$76)</f>
        <v>4</v>
      </c>
      <c r="AD78">
        <f t="shared" si="19"/>
        <v>6</v>
      </c>
      <c r="AE78">
        <f t="shared" si="19"/>
        <v>6</v>
      </c>
      <c r="AF78">
        <f t="shared" si="19"/>
        <v>8</v>
      </c>
      <c r="AG78">
        <f t="shared" si="19"/>
        <v>7</v>
      </c>
      <c r="AH78" s="8"/>
      <c r="AI78" s="8"/>
    </row>
    <row r="79" spans="1:35" x14ac:dyDescent="0.2">
      <c r="K79" s="3" t="s">
        <v>56</v>
      </c>
      <c r="L79" s="6">
        <f t="shared" si="18"/>
        <v>1</v>
      </c>
      <c r="M79" s="6">
        <f t="shared" si="18"/>
        <v>0.875</v>
      </c>
      <c r="N79" s="6">
        <f t="shared" si="18"/>
        <v>0.875</v>
      </c>
      <c r="O79" s="6">
        <f t="shared" si="18"/>
        <v>0.5</v>
      </c>
      <c r="P79" s="6">
        <f t="shared" si="18"/>
        <v>0.875</v>
      </c>
      <c r="Q79" s="6">
        <f t="shared" si="18"/>
        <v>0.875</v>
      </c>
      <c r="Z79" s="8">
        <v>5</v>
      </c>
      <c r="AA79" s="8" t="s">
        <v>45</v>
      </c>
      <c r="AB79">
        <f>COUNTIFS(AB$4:AB$60,$Z79,$AA5:$AA61,$AA$76)</f>
        <v>7</v>
      </c>
      <c r="AC79">
        <f t="shared" ref="AC79:AG79" si="20">COUNTIFS(AC$4:AC$60,$Z79,$AA5:$AA61,$AA$76)</f>
        <v>3</v>
      </c>
      <c r="AD79">
        <f t="shared" si="20"/>
        <v>2</v>
      </c>
      <c r="AE79">
        <f t="shared" si="20"/>
        <v>1</v>
      </c>
      <c r="AF79">
        <f t="shared" si="20"/>
        <v>2</v>
      </c>
      <c r="AG79">
        <f t="shared" si="20"/>
        <v>1</v>
      </c>
      <c r="AH79" s="8"/>
      <c r="AI79" s="8"/>
    </row>
    <row r="80" spans="1:35" x14ac:dyDescent="0.2">
      <c r="Z80" s="8"/>
      <c r="AA80" s="12" t="s">
        <v>57</v>
      </c>
      <c r="AB80" s="9">
        <f>SUM(AB78:AB79)</f>
        <v>11</v>
      </c>
      <c r="AC80" s="9">
        <f t="shared" ref="AC80:AG80" si="21">SUM(AC78:AC79)</f>
        <v>7</v>
      </c>
      <c r="AD80" s="9">
        <f t="shared" si="21"/>
        <v>8</v>
      </c>
      <c r="AE80" s="9">
        <f t="shared" si="21"/>
        <v>7</v>
      </c>
      <c r="AF80" s="9">
        <f t="shared" si="21"/>
        <v>10</v>
      </c>
      <c r="AG80" s="9">
        <f t="shared" si="21"/>
        <v>8</v>
      </c>
      <c r="AH80" s="8"/>
      <c r="AI80" s="8"/>
    </row>
    <row r="81" spans="1:35" x14ac:dyDescent="0.2">
      <c r="J81" s="2" t="s">
        <v>32</v>
      </c>
      <c r="Z81" s="8"/>
      <c r="AA81" s="13" t="s">
        <v>60</v>
      </c>
      <c r="AB81" s="14">
        <f>AB80/11</f>
        <v>1</v>
      </c>
      <c r="AC81" s="14">
        <f t="shared" ref="AC81:AG81" si="22">AC80/11</f>
        <v>0.63636363636363635</v>
      </c>
      <c r="AD81" s="14">
        <f t="shared" si="22"/>
        <v>0.72727272727272729</v>
      </c>
      <c r="AE81" s="14">
        <f t="shared" si="22"/>
        <v>0.63636363636363635</v>
      </c>
      <c r="AF81" s="14">
        <f t="shared" si="22"/>
        <v>0.90909090909090906</v>
      </c>
      <c r="AG81" s="14">
        <f t="shared" si="22"/>
        <v>0.72727272727272729</v>
      </c>
      <c r="AH81" s="8"/>
      <c r="AI81" s="8"/>
    </row>
    <row r="82" spans="1:35" x14ac:dyDescent="0.2">
      <c r="J82">
        <v>1</v>
      </c>
      <c r="K82" t="s">
        <v>54</v>
      </c>
      <c r="L82">
        <f>COUNTIFS(L$4:L$60,$J82,$K$4:$K$60,$J$81)</f>
        <v>0</v>
      </c>
      <c r="M82">
        <f t="shared" ref="M82:Q82" si="23">COUNTIFS(M$4:M$60,$J82,$K$4:$K$60,$J$81)</f>
        <v>0</v>
      </c>
      <c r="N82">
        <f t="shared" si="23"/>
        <v>1</v>
      </c>
      <c r="O82">
        <f t="shared" si="23"/>
        <v>0</v>
      </c>
      <c r="P82">
        <f t="shared" si="23"/>
        <v>0</v>
      </c>
      <c r="Q82">
        <f t="shared" si="23"/>
        <v>0</v>
      </c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 x14ac:dyDescent="0.2">
      <c r="J83">
        <v>2</v>
      </c>
      <c r="K83" t="s">
        <v>55</v>
      </c>
      <c r="L83">
        <f t="shared" ref="L83:Q84" si="24">COUNTIFS(L$4:L$60,$J83,$K$4:$K$60,$J$81)</f>
        <v>0</v>
      </c>
      <c r="M83">
        <f t="shared" si="24"/>
        <v>5</v>
      </c>
      <c r="N83">
        <f t="shared" si="24"/>
        <v>2</v>
      </c>
      <c r="O83">
        <f t="shared" si="24"/>
        <v>4</v>
      </c>
      <c r="P83">
        <f t="shared" si="24"/>
        <v>2</v>
      </c>
      <c r="Q83">
        <f t="shared" si="24"/>
        <v>3</v>
      </c>
      <c r="Z83" s="8"/>
      <c r="AA83" s="7" t="s">
        <v>31</v>
      </c>
      <c r="AB83" s="7" t="s">
        <v>36</v>
      </c>
      <c r="AC83" s="7" t="s">
        <v>36</v>
      </c>
      <c r="AD83" s="7" t="s">
        <v>36</v>
      </c>
      <c r="AE83" s="7" t="s">
        <v>36</v>
      </c>
      <c r="AF83" s="7" t="s">
        <v>36</v>
      </c>
      <c r="AG83" s="7" t="s">
        <v>36</v>
      </c>
      <c r="AH83" s="8"/>
      <c r="AI83" s="8"/>
    </row>
    <row r="84" spans="1:35" x14ac:dyDescent="0.2">
      <c r="J84">
        <v>3</v>
      </c>
      <c r="K84" t="s">
        <v>56</v>
      </c>
      <c r="L84">
        <f t="shared" si="24"/>
        <v>11</v>
      </c>
      <c r="M84">
        <f t="shared" si="24"/>
        <v>6</v>
      </c>
      <c r="N84">
        <f t="shared" si="24"/>
        <v>8</v>
      </c>
      <c r="O84">
        <f t="shared" si="24"/>
        <v>7</v>
      </c>
      <c r="P84">
        <f t="shared" si="24"/>
        <v>9</v>
      </c>
      <c r="Q84">
        <f t="shared" si="24"/>
        <v>8</v>
      </c>
      <c r="Z84" s="8"/>
      <c r="AA84" s="8"/>
      <c r="AB84" s="8" t="s">
        <v>2</v>
      </c>
      <c r="AC84" s="8" t="s">
        <v>3</v>
      </c>
      <c r="AD84" s="8" t="s">
        <v>6</v>
      </c>
      <c r="AE84" s="8" t="s">
        <v>10</v>
      </c>
      <c r="AF84" s="8" t="s">
        <v>20</v>
      </c>
      <c r="AG84" s="8" t="s">
        <v>26</v>
      </c>
      <c r="AH84" s="8"/>
      <c r="AI84" s="8"/>
    </row>
    <row r="85" spans="1:35" x14ac:dyDescent="0.2">
      <c r="L85" s="2" t="s">
        <v>2</v>
      </c>
      <c r="M85" s="2" t="s">
        <v>3</v>
      </c>
      <c r="N85" s="2" t="s">
        <v>6</v>
      </c>
      <c r="O85" s="2" t="s">
        <v>10</v>
      </c>
      <c r="P85" s="2" t="s">
        <v>20</v>
      </c>
      <c r="Q85" s="2" t="s">
        <v>26</v>
      </c>
      <c r="Z85" s="8">
        <v>4</v>
      </c>
      <c r="AA85" s="8" t="s">
        <v>44</v>
      </c>
      <c r="AB85">
        <f>COUNTIFS(AB$4:AB$60,$Z85,$AA4:$AA60,$AA$83)</f>
        <v>21</v>
      </c>
      <c r="AC85">
        <f t="shared" ref="AC85:AG85" si="25">COUNTIFS(AC$4:AC$60,$Z85,$AA4:$AA60,$AA$83)</f>
        <v>17</v>
      </c>
      <c r="AD85">
        <f t="shared" si="25"/>
        <v>20</v>
      </c>
      <c r="AE85">
        <f t="shared" si="25"/>
        <v>14</v>
      </c>
      <c r="AF85">
        <f t="shared" si="25"/>
        <v>12</v>
      </c>
      <c r="AG85">
        <f t="shared" si="25"/>
        <v>10</v>
      </c>
      <c r="AH85" s="8"/>
      <c r="AI85" s="8"/>
    </row>
    <row r="86" spans="1:35" x14ac:dyDescent="0.2">
      <c r="K86" s="3" t="s">
        <v>54</v>
      </c>
      <c r="L86" s="6">
        <f>L82/11</f>
        <v>0</v>
      </c>
      <c r="M86" s="6">
        <f t="shared" ref="M86:Q86" si="26">M82/11</f>
        <v>0</v>
      </c>
      <c r="N86" s="6">
        <f t="shared" si="26"/>
        <v>9.0909090909090912E-2</v>
      </c>
      <c r="O86" s="6">
        <f t="shared" si="26"/>
        <v>0</v>
      </c>
      <c r="P86" s="6">
        <f t="shared" si="26"/>
        <v>0</v>
      </c>
      <c r="Q86" s="6">
        <f t="shared" si="26"/>
        <v>0</v>
      </c>
      <c r="Z86" s="8">
        <v>5</v>
      </c>
      <c r="AA86" s="8" t="s">
        <v>45</v>
      </c>
      <c r="AB86">
        <f>COUNTIFS(AB$4:AB$60,$Z86,$AA5:$AA61,$AA$83)</f>
        <v>16</v>
      </c>
      <c r="AC86">
        <f t="shared" ref="AC86:AG86" si="27">COUNTIFS(AC$4:AC$60,$Z86,$AA5:$AA61,$AA$83)</f>
        <v>12</v>
      </c>
      <c r="AD86">
        <f t="shared" si="27"/>
        <v>10</v>
      </c>
      <c r="AE86">
        <f t="shared" si="27"/>
        <v>7</v>
      </c>
      <c r="AF86">
        <f t="shared" si="27"/>
        <v>20</v>
      </c>
      <c r="AG86">
        <f t="shared" si="27"/>
        <v>14</v>
      </c>
      <c r="AH86" s="8"/>
      <c r="AI86" s="8"/>
    </row>
    <row r="87" spans="1:35" x14ac:dyDescent="0.2">
      <c r="K87" s="3" t="s">
        <v>55</v>
      </c>
      <c r="L87" s="6">
        <f t="shared" ref="L87:Q88" si="28">L83/11</f>
        <v>0</v>
      </c>
      <c r="M87" s="6">
        <f t="shared" si="28"/>
        <v>0.45454545454545453</v>
      </c>
      <c r="N87" s="6">
        <f t="shared" si="28"/>
        <v>0.18181818181818182</v>
      </c>
      <c r="O87" s="6">
        <f t="shared" si="28"/>
        <v>0.36363636363636365</v>
      </c>
      <c r="P87" s="6">
        <f t="shared" si="28"/>
        <v>0.18181818181818182</v>
      </c>
      <c r="Q87" s="6">
        <f t="shared" si="28"/>
        <v>0.27272727272727271</v>
      </c>
      <c r="Z87" s="8"/>
      <c r="AA87" s="12" t="s">
        <v>57</v>
      </c>
      <c r="AB87" s="9">
        <f>SUM(AB85:AB86)</f>
        <v>37</v>
      </c>
      <c r="AC87" s="9">
        <f t="shared" ref="AC87:AG87" si="29">SUM(AC85:AC86)</f>
        <v>29</v>
      </c>
      <c r="AD87" s="9">
        <f t="shared" si="29"/>
        <v>30</v>
      </c>
      <c r="AE87" s="9">
        <f t="shared" si="29"/>
        <v>21</v>
      </c>
      <c r="AF87" s="9">
        <f t="shared" si="29"/>
        <v>32</v>
      </c>
      <c r="AG87" s="9">
        <f t="shared" si="29"/>
        <v>24</v>
      </c>
      <c r="AH87" s="8"/>
      <c r="AI87" s="8"/>
    </row>
    <row r="88" spans="1:35" x14ac:dyDescent="0.2">
      <c r="K88" s="3" t="s">
        <v>56</v>
      </c>
      <c r="L88" s="6">
        <f t="shared" si="28"/>
        <v>1</v>
      </c>
      <c r="M88" s="6">
        <f t="shared" si="28"/>
        <v>0.54545454545454541</v>
      </c>
      <c r="N88" s="6">
        <f t="shared" si="28"/>
        <v>0.72727272727272729</v>
      </c>
      <c r="O88" s="6">
        <f t="shared" si="28"/>
        <v>0.63636363636363635</v>
      </c>
      <c r="P88" s="6">
        <f t="shared" si="28"/>
        <v>0.81818181818181823</v>
      </c>
      <c r="Q88" s="6">
        <f t="shared" si="28"/>
        <v>0.72727272727272729</v>
      </c>
      <c r="Z88" s="8"/>
      <c r="AA88" s="13" t="s">
        <v>61</v>
      </c>
      <c r="AB88" s="14">
        <f>AB87/38</f>
        <v>0.97368421052631582</v>
      </c>
      <c r="AC88" s="14">
        <f t="shared" ref="AC88:AG88" si="30">AC87/38</f>
        <v>0.76315789473684215</v>
      </c>
      <c r="AD88" s="14">
        <f t="shared" si="30"/>
        <v>0.78947368421052633</v>
      </c>
      <c r="AE88" s="14">
        <f t="shared" si="30"/>
        <v>0.55263157894736847</v>
      </c>
      <c r="AF88" s="14">
        <f t="shared" si="30"/>
        <v>0.84210526315789469</v>
      </c>
      <c r="AG88" s="14">
        <f t="shared" si="30"/>
        <v>0.63157894736842102</v>
      </c>
      <c r="AH88" s="8"/>
      <c r="AI88" s="8"/>
    </row>
    <row r="89" spans="1:35" x14ac:dyDescent="0.2">
      <c r="A89" t="s">
        <v>32</v>
      </c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 x14ac:dyDescent="0.2">
      <c r="J90" s="2" t="s">
        <v>31</v>
      </c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1:35" x14ac:dyDescent="0.2">
      <c r="J91">
        <v>1</v>
      </c>
      <c r="K91" t="s">
        <v>54</v>
      </c>
      <c r="L91">
        <f>COUNTIFS(L$4:L$60,$J91,$K$4:$K$60,$J$90)</f>
        <v>0</v>
      </c>
      <c r="M91">
        <f t="shared" ref="M91:Q91" si="31">COUNTIFS(M$4:M$60,$J91,$K$4:$K$60,$J$90)</f>
        <v>0</v>
      </c>
      <c r="N91">
        <f t="shared" si="31"/>
        <v>0</v>
      </c>
      <c r="O91">
        <f t="shared" si="31"/>
        <v>2</v>
      </c>
      <c r="P91">
        <f t="shared" si="31"/>
        <v>0</v>
      </c>
      <c r="Q91">
        <f t="shared" si="31"/>
        <v>1</v>
      </c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 x14ac:dyDescent="0.2">
      <c r="J92">
        <v>2</v>
      </c>
      <c r="K92" t="s">
        <v>55</v>
      </c>
      <c r="L92">
        <f>COUNTIFS(L$4:L$60,$J92,$K$4:$K$60,$J$90)</f>
        <v>2</v>
      </c>
      <c r="M92">
        <f t="shared" ref="L92:Q93" si="32">COUNTIFS(M$4:M$60,$J92,$K$4:$K$60,$J$90)</f>
        <v>8</v>
      </c>
      <c r="N92">
        <f t="shared" si="32"/>
        <v>8</v>
      </c>
      <c r="O92">
        <f t="shared" si="32"/>
        <v>15</v>
      </c>
      <c r="P92">
        <f t="shared" si="32"/>
        <v>7</v>
      </c>
      <c r="Q92">
        <f t="shared" si="32"/>
        <v>13</v>
      </c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1:35" x14ac:dyDescent="0.2">
      <c r="J93">
        <v>3</v>
      </c>
      <c r="K93" t="s">
        <v>56</v>
      </c>
      <c r="L93">
        <f t="shared" si="32"/>
        <v>36</v>
      </c>
      <c r="M93">
        <f t="shared" si="32"/>
        <v>30</v>
      </c>
      <c r="N93">
        <f t="shared" si="32"/>
        <v>30</v>
      </c>
      <c r="O93">
        <f t="shared" si="32"/>
        <v>21</v>
      </c>
      <c r="P93">
        <f t="shared" si="32"/>
        <v>31</v>
      </c>
      <c r="Q93">
        <f t="shared" si="32"/>
        <v>24</v>
      </c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1:35" x14ac:dyDescent="0.2">
      <c r="L94" s="2" t="s">
        <v>2</v>
      </c>
      <c r="M94" s="2" t="s">
        <v>3</v>
      </c>
      <c r="N94" s="2" t="s">
        <v>6</v>
      </c>
      <c r="O94" s="2" t="s">
        <v>10</v>
      </c>
      <c r="P94" s="2" t="s">
        <v>20</v>
      </c>
      <c r="Q94" s="2" t="s">
        <v>26</v>
      </c>
    </row>
    <row r="95" spans="1:35" x14ac:dyDescent="0.2">
      <c r="K95" s="3" t="s">
        <v>54</v>
      </c>
      <c r="L95" s="6">
        <f>L91/38</f>
        <v>0</v>
      </c>
      <c r="M95" s="6">
        <f t="shared" ref="M95:Q95" si="33">M91/38</f>
        <v>0</v>
      </c>
      <c r="N95" s="6">
        <f t="shared" si="33"/>
        <v>0</v>
      </c>
      <c r="O95" s="6">
        <f t="shared" si="33"/>
        <v>5.2631578947368418E-2</v>
      </c>
      <c r="P95" s="6">
        <f t="shared" si="33"/>
        <v>0</v>
      </c>
      <c r="Q95" s="6">
        <f t="shared" si="33"/>
        <v>2.6315789473684209E-2</v>
      </c>
    </row>
    <row r="96" spans="1:35" x14ac:dyDescent="0.2">
      <c r="K96" s="3" t="s">
        <v>55</v>
      </c>
      <c r="L96" s="6">
        <f t="shared" ref="L96:Q97" si="34">L92/38</f>
        <v>5.2631578947368418E-2</v>
      </c>
      <c r="M96" s="6">
        <f t="shared" si="34"/>
        <v>0.21052631578947367</v>
      </c>
      <c r="N96" s="6">
        <f t="shared" si="34"/>
        <v>0.21052631578947367</v>
      </c>
      <c r="O96" s="6">
        <f t="shared" si="34"/>
        <v>0.39473684210526316</v>
      </c>
      <c r="P96" s="6">
        <f t="shared" si="34"/>
        <v>0.18421052631578946</v>
      </c>
      <c r="Q96" s="6">
        <f t="shared" si="34"/>
        <v>0.34210526315789475</v>
      </c>
    </row>
    <row r="97" spans="1:18" x14ac:dyDescent="0.2">
      <c r="K97" s="3" t="s">
        <v>56</v>
      </c>
      <c r="L97" s="6">
        <f t="shared" si="34"/>
        <v>0.94736842105263153</v>
      </c>
      <c r="M97" s="6">
        <f t="shared" si="34"/>
        <v>0.78947368421052633</v>
      </c>
      <c r="N97" s="6">
        <f t="shared" si="34"/>
        <v>0.78947368421052633</v>
      </c>
      <c r="O97" s="6">
        <f t="shared" si="34"/>
        <v>0.55263157894736847</v>
      </c>
      <c r="P97" s="6">
        <f t="shared" si="34"/>
        <v>0.81578947368421051</v>
      </c>
      <c r="Q97" s="6">
        <f t="shared" si="34"/>
        <v>0.63157894736842102</v>
      </c>
    </row>
    <row r="103" spans="1:18" x14ac:dyDescent="0.2">
      <c r="A103" t="s">
        <v>31</v>
      </c>
      <c r="R103" s="15"/>
    </row>
    <row r="112" spans="1:18" x14ac:dyDescent="0.2">
      <c r="J112" s="16" t="s">
        <v>62</v>
      </c>
      <c r="K112" s="2" t="s">
        <v>2</v>
      </c>
      <c r="L112" s="18" t="s">
        <v>54</v>
      </c>
      <c r="M112" s="18" t="s">
        <v>55</v>
      </c>
      <c r="N112" s="18" t="s">
        <v>56</v>
      </c>
      <c r="P112" s="18" t="s">
        <v>63</v>
      </c>
    </row>
    <row r="113" spans="1:16" x14ac:dyDescent="0.2">
      <c r="J113" s="17" t="s">
        <v>52</v>
      </c>
      <c r="K113" s="17"/>
      <c r="L113" s="23">
        <v>0</v>
      </c>
      <c r="M113" s="23">
        <v>0</v>
      </c>
      <c r="N113" s="23">
        <v>1</v>
      </c>
      <c r="P113" s="25">
        <f t="shared" ref="P113:P135" si="35">SUM(L113:N113)</f>
        <v>1</v>
      </c>
    </row>
    <row r="114" spans="1:16" x14ac:dyDescent="0.2">
      <c r="J114" s="17" t="s">
        <v>32</v>
      </c>
      <c r="K114" s="17"/>
      <c r="L114" s="15">
        <v>0</v>
      </c>
      <c r="M114" s="15">
        <v>0</v>
      </c>
      <c r="N114" s="15">
        <v>1</v>
      </c>
      <c r="P114" s="25">
        <f t="shared" si="35"/>
        <v>1</v>
      </c>
    </row>
    <row r="115" spans="1:16" x14ac:dyDescent="0.2">
      <c r="J115" s="17" t="s">
        <v>31</v>
      </c>
      <c r="K115" s="17"/>
      <c r="L115" s="15">
        <v>0</v>
      </c>
      <c r="M115" s="15">
        <v>5.2631578947368418E-2</v>
      </c>
      <c r="N115" s="15">
        <v>0.94736842105263153</v>
      </c>
      <c r="P115" s="25">
        <f t="shared" si="35"/>
        <v>1</v>
      </c>
    </row>
    <row r="116" spans="1:16" x14ac:dyDescent="0.2">
      <c r="J116" s="19" t="s">
        <v>62</v>
      </c>
      <c r="K116" s="2" t="s">
        <v>3</v>
      </c>
      <c r="L116" s="21" t="s">
        <v>54</v>
      </c>
      <c r="M116" s="21" t="s">
        <v>55</v>
      </c>
      <c r="N116" s="21" t="s">
        <v>56</v>
      </c>
      <c r="P116" s="25">
        <f t="shared" si="35"/>
        <v>0</v>
      </c>
    </row>
    <row r="117" spans="1:16" x14ac:dyDescent="0.2">
      <c r="A117" t="s">
        <v>46</v>
      </c>
      <c r="J117" s="20" t="s">
        <v>52</v>
      </c>
      <c r="K117" s="10"/>
      <c r="L117" s="23">
        <v>0</v>
      </c>
      <c r="M117" s="23">
        <v>0.125</v>
      </c>
      <c r="N117" s="23">
        <v>0.875</v>
      </c>
      <c r="P117" s="25">
        <f t="shared" si="35"/>
        <v>1</v>
      </c>
    </row>
    <row r="118" spans="1:16" x14ac:dyDescent="0.2">
      <c r="J118" s="20" t="s">
        <v>32</v>
      </c>
      <c r="K118" s="20"/>
      <c r="L118" s="15">
        <v>0</v>
      </c>
      <c r="M118" s="15">
        <v>0.45454545454545453</v>
      </c>
      <c r="N118" s="15">
        <v>0.54545454545454541</v>
      </c>
      <c r="P118" s="25">
        <f t="shared" si="35"/>
        <v>1</v>
      </c>
    </row>
    <row r="119" spans="1:16" x14ac:dyDescent="0.2">
      <c r="J119" s="20" t="s">
        <v>31</v>
      </c>
      <c r="K119" s="20"/>
      <c r="L119" s="15">
        <v>0</v>
      </c>
      <c r="M119" s="15">
        <v>0.21052631578947367</v>
      </c>
      <c r="N119" s="15">
        <v>0.78947368421052633</v>
      </c>
      <c r="P119" s="25">
        <f t="shared" si="35"/>
        <v>1</v>
      </c>
    </row>
    <row r="120" spans="1:16" x14ac:dyDescent="0.2">
      <c r="J120" s="16" t="s">
        <v>62</v>
      </c>
      <c r="K120" s="2" t="s">
        <v>6</v>
      </c>
      <c r="L120" s="18" t="s">
        <v>54</v>
      </c>
      <c r="M120" s="18" t="s">
        <v>55</v>
      </c>
      <c r="N120" s="18" t="s">
        <v>56</v>
      </c>
      <c r="P120" s="25">
        <f t="shared" si="35"/>
        <v>0</v>
      </c>
    </row>
    <row r="121" spans="1:16" x14ac:dyDescent="0.2">
      <c r="J121" s="17" t="s">
        <v>52</v>
      </c>
      <c r="K121" s="17"/>
      <c r="L121" s="23">
        <v>0</v>
      </c>
      <c r="M121" s="23">
        <v>0.125</v>
      </c>
      <c r="N121" s="23">
        <v>0.875</v>
      </c>
      <c r="P121" s="25">
        <f t="shared" si="35"/>
        <v>1</v>
      </c>
    </row>
    <row r="122" spans="1:16" x14ac:dyDescent="0.2">
      <c r="J122" s="17" t="s">
        <v>32</v>
      </c>
      <c r="K122" s="17"/>
      <c r="L122" s="15">
        <v>9.0909090909090912E-2</v>
      </c>
      <c r="M122" s="15">
        <v>0.18181818181818182</v>
      </c>
      <c r="N122" s="15">
        <v>0.72727272727272729</v>
      </c>
      <c r="P122" s="25">
        <f t="shared" si="35"/>
        <v>1</v>
      </c>
    </row>
    <row r="123" spans="1:16" x14ac:dyDescent="0.2">
      <c r="J123" s="17" t="s">
        <v>31</v>
      </c>
      <c r="K123" s="17"/>
      <c r="L123" s="15">
        <v>0</v>
      </c>
      <c r="M123" s="15">
        <v>0.21052631578947367</v>
      </c>
      <c r="N123" s="15">
        <v>0.78947368421052633</v>
      </c>
      <c r="P123" s="25">
        <f t="shared" si="35"/>
        <v>1</v>
      </c>
    </row>
    <row r="124" spans="1:16" x14ac:dyDescent="0.2">
      <c r="J124" s="19" t="s">
        <v>62</v>
      </c>
      <c r="K124" s="2" t="s">
        <v>10</v>
      </c>
      <c r="L124" s="21" t="s">
        <v>54</v>
      </c>
      <c r="M124" s="21" t="s">
        <v>55</v>
      </c>
      <c r="N124" s="21" t="s">
        <v>56</v>
      </c>
      <c r="P124" s="25">
        <f t="shared" si="35"/>
        <v>0</v>
      </c>
    </row>
    <row r="125" spans="1:16" x14ac:dyDescent="0.2">
      <c r="J125" s="20" t="s">
        <v>52</v>
      </c>
      <c r="K125" s="10"/>
      <c r="L125" s="23">
        <v>0.125</v>
      </c>
      <c r="M125" s="23">
        <v>0.375</v>
      </c>
      <c r="N125" s="23">
        <v>0.5</v>
      </c>
      <c r="P125" s="25">
        <f t="shared" si="35"/>
        <v>1</v>
      </c>
    </row>
    <row r="126" spans="1:16" x14ac:dyDescent="0.2">
      <c r="J126" s="20" t="s">
        <v>32</v>
      </c>
      <c r="K126" s="20"/>
      <c r="L126" s="15">
        <v>0</v>
      </c>
      <c r="M126" s="15">
        <v>0.36363636363636365</v>
      </c>
      <c r="N126" s="15">
        <v>0.63636363636363635</v>
      </c>
      <c r="P126" s="25">
        <f t="shared" si="35"/>
        <v>1</v>
      </c>
    </row>
    <row r="127" spans="1:16" x14ac:dyDescent="0.2">
      <c r="J127" s="20" t="s">
        <v>31</v>
      </c>
      <c r="K127" s="20"/>
      <c r="L127" s="15">
        <v>5.2631578947368418E-2</v>
      </c>
      <c r="M127" s="15">
        <v>0.39473684210526316</v>
      </c>
      <c r="N127" s="15">
        <v>0.55263157894736847</v>
      </c>
      <c r="P127" s="25">
        <f t="shared" si="35"/>
        <v>1</v>
      </c>
    </row>
    <row r="128" spans="1:16" x14ac:dyDescent="0.2">
      <c r="J128" s="16" t="s">
        <v>62</v>
      </c>
      <c r="K128" s="2" t="s">
        <v>20</v>
      </c>
      <c r="L128" s="18" t="s">
        <v>54</v>
      </c>
      <c r="M128" s="18" t="s">
        <v>55</v>
      </c>
      <c r="N128" s="18" t="s">
        <v>56</v>
      </c>
      <c r="P128" s="25">
        <f t="shared" si="35"/>
        <v>0</v>
      </c>
    </row>
    <row r="129" spans="10:16" x14ac:dyDescent="0.2">
      <c r="J129" s="17" t="s">
        <v>52</v>
      </c>
      <c r="K129" s="17"/>
      <c r="L129" s="23">
        <v>0</v>
      </c>
      <c r="M129" s="23">
        <v>0.125</v>
      </c>
      <c r="N129" s="23">
        <v>0.875</v>
      </c>
      <c r="P129" s="25">
        <f t="shared" si="35"/>
        <v>1</v>
      </c>
    </row>
    <row r="130" spans="10:16" x14ac:dyDescent="0.2">
      <c r="J130" s="17" t="s">
        <v>32</v>
      </c>
      <c r="K130" s="17"/>
      <c r="L130" s="15">
        <v>0</v>
      </c>
      <c r="M130" s="15">
        <v>0.18181818181818182</v>
      </c>
      <c r="N130" s="15">
        <v>0.81818181818181823</v>
      </c>
      <c r="P130" s="25">
        <f t="shared" si="35"/>
        <v>1</v>
      </c>
    </row>
    <row r="131" spans="10:16" x14ac:dyDescent="0.2">
      <c r="J131" s="17" t="s">
        <v>31</v>
      </c>
      <c r="K131" s="17"/>
      <c r="L131" s="15">
        <v>0</v>
      </c>
      <c r="M131" s="15">
        <v>0.18421052631578946</v>
      </c>
      <c r="N131" s="15">
        <v>0.81578947368421051</v>
      </c>
      <c r="P131" s="25">
        <f t="shared" si="35"/>
        <v>1</v>
      </c>
    </row>
    <row r="132" spans="10:16" x14ac:dyDescent="0.2">
      <c r="J132" s="19" t="s">
        <v>62</v>
      </c>
      <c r="K132" s="2" t="s">
        <v>26</v>
      </c>
      <c r="L132" s="21" t="s">
        <v>54</v>
      </c>
      <c r="M132" s="21" t="s">
        <v>55</v>
      </c>
      <c r="N132" s="21" t="s">
        <v>56</v>
      </c>
      <c r="P132" s="25">
        <f t="shared" si="35"/>
        <v>0</v>
      </c>
    </row>
    <row r="133" spans="10:16" x14ac:dyDescent="0.2">
      <c r="J133" s="20" t="s">
        <v>52</v>
      </c>
      <c r="K133" s="10"/>
      <c r="L133" s="23">
        <v>0</v>
      </c>
      <c r="M133" s="23">
        <v>0.125</v>
      </c>
      <c r="N133" s="23">
        <v>0.875</v>
      </c>
      <c r="P133" s="25">
        <f t="shared" si="35"/>
        <v>1</v>
      </c>
    </row>
    <row r="134" spans="10:16" x14ac:dyDescent="0.2">
      <c r="J134" s="20" t="s">
        <v>32</v>
      </c>
      <c r="K134" s="20"/>
      <c r="L134" s="15">
        <v>0</v>
      </c>
      <c r="M134" s="15">
        <v>0.27272727272727271</v>
      </c>
      <c r="N134" s="15">
        <v>0.72727272727272729</v>
      </c>
      <c r="P134" s="25">
        <f t="shared" si="35"/>
        <v>1</v>
      </c>
    </row>
    <row r="135" spans="10:16" x14ac:dyDescent="0.2">
      <c r="J135" s="20" t="s">
        <v>31</v>
      </c>
      <c r="K135" s="20"/>
      <c r="L135" s="15">
        <v>2.6315789473684209E-2</v>
      </c>
      <c r="M135" s="15">
        <v>0.34210526315789475</v>
      </c>
      <c r="N135" s="15">
        <v>0.63157894736842102</v>
      </c>
      <c r="P135" s="25">
        <f t="shared" si="35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26"/>
  <sheetViews>
    <sheetView topLeftCell="I70" zoomScale="90" zoomScaleNormal="90" workbookViewId="0">
      <selection activeCell="Y70" sqref="Y70:AE89"/>
    </sheetView>
  </sheetViews>
  <sheetFormatPr baseColWidth="10" defaultRowHeight="16" x14ac:dyDescent="0.2"/>
  <sheetData>
    <row r="1" spans="1:31" x14ac:dyDescent="0.2">
      <c r="A1" s="3" t="s">
        <v>47</v>
      </c>
      <c r="K1" s="3" t="s">
        <v>48</v>
      </c>
      <c r="Y1" s="3" t="s">
        <v>49</v>
      </c>
    </row>
    <row r="2" spans="1:31" x14ac:dyDescent="0.2">
      <c r="A2" s="2" t="s">
        <v>34</v>
      </c>
      <c r="B2" s="2" t="s">
        <v>35</v>
      </c>
      <c r="C2" s="2" t="s">
        <v>35</v>
      </c>
      <c r="D2" s="2" t="s">
        <v>35</v>
      </c>
      <c r="E2" s="2" t="s">
        <v>35</v>
      </c>
      <c r="F2" s="2" t="s">
        <v>35</v>
      </c>
      <c r="G2" s="2" t="s">
        <v>35</v>
      </c>
      <c r="K2" s="2" t="s">
        <v>34</v>
      </c>
      <c r="L2" s="2" t="s">
        <v>35</v>
      </c>
      <c r="M2" s="2" t="s">
        <v>35</v>
      </c>
      <c r="N2" s="2" t="s">
        <v>35</v>
      </c>
      <c r="O2" s="2" t="s">
        <v>35</v>
      </c>
      <c r="P2" s="2" t="s">
        <v>35</v>
      </c>
      <c r="Q2" s="2" t="s">
        <v>35</v>
      </c>
      <c r="Y2" s="2" t="s">
        <v>34</v>
      </c>
      <c r="Z2" s="2" t="s">
        <v>35</v>
      </c>
      <c r="AA2" s="2" t="s">
        <v>35</v>
      </c>
      <c r="AB2" s="2" t="s">
        <v>35</v>
      </c>
      <c r="AC2" s="2" t="s">
        <v>35</v>
      </c>
      <c r="AD2" s="2" t="s">
        <v>35</v>
      </c>
      <c r="AE2" s="2" t="s">
        <v>35</v>
      </c>
    </row>
    <row r="3" spans="1:31" x14ac:dyDescent="0.2">
      <c r="A3" t="s">
        <v>0</v>
      </c>
      <c r="B3" t="s">
        <v>1</v>
      </c>
      <c r="C3" t="s">
        <v>11</v>
      </c>
      <c r="D3" t="s">
        <v>15</v>
      </c>
      <c r="E3" t="s">
        <v>17</v>
      </c>
      <c r="F3" t="s">
        <v>21</v>
      </c>
      <c r="G3" t="s">
        <v>42</v>
      </c>
      <c r="K3" t="s">
        <v>0</v>
      </c>
      <c r="L3" t="s">
        <v>1</v>
      </c>
      <c r="M3" t="s">
        <v>11</v>
      </c>
      <c r="N3" t="s">
        <v>15</v>
      </c>
      <c r="O3" t="s">
        <v>17</v>
      </c>
      <c r="P3" t="s">
        <v>21</v>
      </c>
      <c r="Q3" t="s">
        <v>42</v>
      </c>
      <c r="Y3" t="s">
        <v>0</v>
      </c>
      <c r="Z3" t="s">
        <v>1</v>
      </c>
      <c r="AA3" t="s">
        <v>11</v>
      </c>
      <c r="AB3" t="s">
        <v>15</v>
      </c>
      <c r="AC3" t="s">
        <v>17</v>
      </c>
      <c r="AD3" t="s">
        <v>21</v>
      </c>
      <c r="AE3" t="s">
        <v>24</v>
      </c>
    </row>
    <row r="4" spans="1:31" x14ac:dyDescent="0.2">
      <c r="A4" s="1" t="s">
        <v>33</v>
      </c>
      <c r="B4">
        <v>4</v>
      </c>
      <c r="C4">
        <v>5</v>
      </c>
      <c r="D4">
        <v>4</v>
      </c>
      <c r="E4">
        <v>4</v>
      </c>
      <c r="F4">
        <v>4</v>
      </c>
      <c r="G4">
        <v>4</v>
      </c>
      <c r="K4" s="1" t="s">
        <v>33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Y4" s="1" t="s">
        <v>33</v>
      </c>
      <c r="Z4">
        <v>4</v>
      </c>
      <c r="AA4">
        <v>5</v>
      </c>
      <c r="AB4">
        <v>4</v>
      </c>
      <c r="AC4">
        <v>4</v>
      </c>
      <c r="AD4">
        <v>4</v>
      </c>
      <c r="AE4">
        <v>4</v>
      </c>
    </row>
    <row r="5" spans="1:31" x14ac:dyDescent="0.2">
      <c r="A5" t="s">
        <v>32</v>
      </c>
      <c r="B5">
        <v>4</v>
      </c>
      <c r="C5">
        <v>5</v>
      </c>
      <c r="D5">
        <v>3</v>
      </c>
      <c r="E5">
        <v>5</v>
      </c>
      <c r="F5">
        <v>4</v>
      </c>
      <c r="G5">
        <v>4</v>
      </c>
      <c r="K5" s="2" t="s">
        <v>32</v>
      </c>
      <c r="L5" s="2">
        <v>3</v>
      </c>
      <c r="M5" s="2">
        <v>3</v>
      </c>
      <c r="N5" s="2">
        <v>2</v>
      </c>
      <c r="O5" s="2">
        <v>3</v>
      </c>
      <c r="P5" s="2">
        <v>3</v>
      </c>
      <c r="Q5" s="2">
        <v>3</v>
      </c>
      <c r="Y5" t="s">
        <v>32</v>
      </c>
      <c r="Z5">
        <v>4</v>
      </c>
      <c r="AA5">
        <v>5</v>
      </c>
      <c r="AB5">
        <v>3</v>
      </c>
      <c r="AC5">
        <v>5</v>
      </c>
      <c r="AD5">
        <v>4</v>
      </c>
      <c r="AE5">
        <v>4</v>
      </c>
    </row>
    <row r="6" spans="1:31" x14ac:dyDescent="0.2">
      <c r="A6" t="s">
        <v>32</v>
      </c>
      <c r="B6">
        <v>5</v>
      </c>
      <c r="C6">
        <v>4</v>
      </c>
      <c r="D6">
        <v>3</v>
      </c>
      <c r="E6">
        <v>4</v>
      </c>
      <c r="F6">
        <v>3</v>
      </c>
      <c r="G6">
        <v>3</v>
      </c>
      <c r="K6" s="2" t="s">
        <v>32</v>
      </c>
      <c r="L6" s="2">
        <v>3</v>
      </c>
      <c r="M6" s="2">
        <v>3</v>
      </c>
      <c r="N6" s="2">
        <v>2</v>
      </c>
      <c r="O6" s="2">
        <v>3</v>
      </c>
      <c r="P6" s="2">
        <v>2</v>
      </c>
      <c r="Q6" s="2">
        <v>2</v>
      </c>
      <c r="Y6" t="s">
        <v>32</v>
      </c>
      <c r="Z6">
        <v>5</v>
      </c>
      <c r="AA6">
        <v>4</v>
      </c>
      <c r="AB6">
        <v>3</v>
      </c>
      <c r="AC6">
        <v>4</v>
      </c>
      <c r="AD6">
        <v>3</v>
      </c>
      <c r="AE6">
        <v>3</v>
      </c>
    </row>
    <row r="7" spans="1:31" x14ac:dyDescent="0.2">
      <c r="A7" t="s">
        <v>32</v>
      </c>
      <c r="B7">
        <v>4</v>
      </c>
      <c r="C7">
        <v>4</v>
      </c>
      <c r="D7">
        <v>3</v>
      </c>
      <c r="E7">
        <v>4</v>
      </c>
      <c r="F7">
        <v>3</v>
      </c>
      <c r="G7">
        <v>4</v>
      </c>
      <c r="K7" s="2" t="s">
        <v>32</v>
      </c>
      <c r="L7" s="2">
        <v>3</v>
      </c>
      <c r="M7" s="2">
        <v>3</v>
      </c>
      <c r="N7" s="2">
        <v>2</v>
      </c>
      <c r="O7" s="2">
        <v>3</v>
      </c>
      <c r="P7" s="2">
        <v>2</v>
      </c>
      <c r="Q7" s="2">
        <v>3</v>
      </c>
      <c r="Y7" t="s">
        <v>32</v>
      </c>
      <c r="Z7">
        <v>4</v>
      </c>
      <c r="AA7">
        <v>4</v>
      </c>
      <c r="AB7">
        <v>3</v>
      </c>
      <c r="AC7">
        <v>4</v>
      </c>
      <c r="AD7">
        <v>3</v>
      </c>
      <c r="AE7">
        <v>4</v>
      </c>
    </row>
    <row r="8" spans="1:31" x14ac:dyDescent="0.2">
      <c r="A8" t="s">
        <v>32</v>
      </c>
      <c r="B8">
        <v>4</v>
      </c>
      <c r="C8">
        <v>4</v>
      </c>
      <c r="D8">
        <v>3</v>
      </c>
      <c r="E8">
        <v>5</v>
      </c>
      <c r="F8">
        <v>3</v>
      </c>
      <c r="G8">
        <v>3</v>
      </c>
      <c r="K8" s="2" t="s">
        <v>32</v>
      </c>
      <c r="L8" s="2">
        <v>3</v>
      </c>
      <c r="M8" s="2">
        <v>3</v>
      </c>
      <c r="N8" s="2">
        <v>2</v>
      </c>
      <c r="O8" s="2">
        <v>3</v>
      </c>
      <c r="P8" s="2">
        <v>2</v>
      </c>
      <c r="Q8" s="2">
        <v>2</v>
      </c>
      <c r="Y8" t="s">
        <v>32</v>
      </c>
      <c r="Z8">
        <v>4</v>
      </c>
      <c r="AA8">
        <v>4</v>
      </c>
      <c r="AB8">
        <v>3</v>
      </c>
      <c r="AC8">
        <v>5</v>
      </c>
      <c r="AD8">
        <v>3</v>
      </c>
      <c r="AE8">
        <v>3</v>
      </c>
    </row>
    <row r="9" spans="1:31" x14ac:dyDescent="0.2">
      <c r="A9" t="s">
        <v>32</v>
      </c>
      <c r="B9">
        <v>4</v>
      </c>
      <c r="C9">
        <v>5</v>
      </c>
      <c r="D9">
        <v>4</v>
      </c>
      <c r="E9">
        <v>5</v>
      </c>
      <c r="F9">
        <v>3</v>
      </c>
      <c r="G9">
        <v>5</v>
      </c>
      <c r="K9" s="2" t="s">
        <v>32</v>
      </c>
      <c r="L9" s="2">
        <v>3</v>
      </c>
      <c r="M9" s="2">
        <v>3</v>
      </c>
      <c r="N9" s="2">
        <v>3</v>
      </c>
      <c r="O9" s="2">
        <v>3</v>
      </c>
      <c r="P9" s="2">
        <v>2</v>
      </c>
      <c r="Q9" s="2">
        <v>3</v>
      </c>
      <c r="Y9" t="s">
        <v>32</v>
      </c>
      <c r="Z9">
        <v>4</v>
      </c>
      <c r="AA9">
        <v>5</v>
      </c>
      <c r="AB9">
        <v>4</v>
      </c>
      <c r="AC9">
        <v>5</v>
      </c>
      <c r="AD9">
        <v>3</v>
      </c>
      <c r="AE9">
        <v>5</v>
      </c>
    </row>
    <row r="10" spans="1:31" x14ac:dyDescent="0.2">
      <c r="A10" t="s">
        <v>32</v>
      </c>
      <c r="B10">
        <v>4</v>
      </c>
      <c r="C10">
        <v>4</v>
      </c>
      <c r="D10">
        <v>3</v>
      </c>
      <c r="E10">
        <v>5</v>
      </c>
      <c r="F10">
        <v>4</v>
      </c>
      <c r="G10">
        <v>4</v>
      </c>
      <c r="K10" s="2" t="s">
        <v>32</v>
      </c>
      <c r="L10" s="2">
        <v>3</v>
      </c>
      <c r="M10" s="2">
        <v>3</v>
      </c>
      <c r="N10" s="2">
        <v>2</v>
      </c>
      <c r="O10" s="2">
        <v>3</v>
      </c>
      <c r="P10" s="2">
        <v>3</v>
      </c>
      <c r="Q10" s="2">
        <v>3</v>
      </c>
      <c r="Y10" t="s">
        <v>32</v>
      </c>
      <c r="Z10">
        <v>4</v>
      </c>
      <c r="AA10">
        <v>4</v>
      </c>
      <c r="AB10">
        <v>3</v>
      </c>
      <c r="AC10">
        <v>5</v>
      </c>
      <c r="AD10">
        <v>4</v>
      </c>
      <c r="AE10">
        <v>4</v>
      </c>
    </row>
    <row r="11" spans="1:31" x14ac:dyDescent="0.2">
      <c r="A11" t="s">
        <v>32</v>
      </c>
      <c r="B11">
        <v>4</v>
      </c>
      <c r="C11">
        <v>4</v>
      </c>
      <c r="D11">
        <v>3</v>
      </c>
      <c r="E11">
        <v>4</v>
      </c>
      <c r="F11">
        <v>2</v>
      </c>
      <c r="G11">
        <v>5</v>
      </c>
      <c r="K11" s="2" t="s">
        <v>32</v>
      </c>
      <c r="L11" s="2">
        <v>3</v>
      </c>
      <c r="M11" s="2">
        <v>3</v>
      </c>
      <c r="N11" s="2">
        <v>2</v>
      </c>
      <c r="O11" s="2">
        <v>3</v>
      </c>
      <c r="P11" s="2">
        <v>1</v>
      </c>
      <c r="Q11" s="2">
        <v>3</v>
      </c>
      <c r="Y11" t="s">
        <v>32</v>
      </c>
      <c r="Z11">
        <v>4</v>
      </c>
      <c r="AA11">
        <v>4</v>
      </c>
      <c r="AB11">
        <v>3</v>
      </c>
      <c r="AC11">
        <v>4</v>
      </c>
      <c r="AD11">
        <v>2</v>
      </c>
      <c r="AE11">
        <v>5</v>
      </c>
    </row>
    <row r="12" spans="1:31" x14ac:dyDescent="0.2">
      <c r="A12" t="s">
        <v>32</v>
      </c>
      <c r="B12">
        <v>5</v>
      </c>
      <c r="C12">
        <v>5</v>
      </c>
      <c r="D12">
        <v>4</v>
      </c>
      <c r="E12">
        <v>5</v>
      </c>
      <c r="F12">
        <v>3</v>
      </c>
      <c r="G12">
        <v>5</v>
      </c>
      <c r="K12" s="2" t="s">
        <v>32</v>
      </c>
      <c r="L12" s="2">
        <v>3</v>
      </c>
      <c r="M12" s="2">
        <v>3</v>
      </c>
      <c r="N12" s="2">
        <v>3</v>
      </c>
      <c r="O12" s="2">
        <v>3</v>
      </c>
      <c r="P12" s="2">
        <v>2</v>
      </c>
      <c r="Q12" s="2">
        <v>3</v>
      </c>
      <c r="Y12" t="s">
        <v>32</v>
      </c>
      <c r="Z12">
        <v>5</v>
      </c>
      <c r="AA12">
        <v>5</v>
      </c>
      <c r="AB12">
        <v>4</v>
      </c>
      <c r="AC12">
        <v>5</v>
      </c>
      <c r="AD12">
        <v>3</v>
      </c>
      <c r="AE12">
        <v>5</v>
      </c>
    </row>
    <row r="13" spans="1:31" x14ac:dyDescent="0.2">
      <c r="A13" t="s">
        <v>32</v>
      </c>
      <c r="B13">
        <v>4</v>
      </c>
      <c r="C13">
        <v>5</v>
      </c>
      <c r="D13">
        <v>3</v>
      </c>
      <c r="E13">
        <v>5</v>
      </c>
      <c r="F13">
        <v>4</v>
      </c>
      <c r="G13">
        <v>4</v>
      </c>
      <c r="K13" s="2" t="s">
        <v>32</v>
      </c>
      <c r="L13" s="2">
        <v>3</v>
      </c>
      <c r="M13" s="2">
        <v>3</v>
      </c>
      <c r="N13" s="2">
        <v>2</v>
      </c>
      <c r="O13" s="2">
        <v>3</v>
      </c>
      <c r="P13" s="2">
        <v>3</v>
      </c>
      <c r="Q13" s="2">
        <v>3</v>
      </c>
      <c r="Y13" t="s">
        <v>32</v>
      </c>
      <c r="Z13">
        <v>4</v>
      </c>
      <c r="AA13">
        <v>5</v>
      </c>
      <c r="AB13">
        <v>3</v>
      </c>
      <c r="AC13">
        <v>5</v>
      </c>
      <c r="AD13">
        <v>4</v>
      </c>
      <c r="AE13">
        <v>4</v>
      </c>
    </row>
    <row r="14" spans="1:31" x14ac:dyDescent="0.2">
      <c r="A14" t="s">
        <v>32</v>
      </c>
      <c r="B14">
        <v>4</v>
      </c>
      <c r="C14">
        <v>5</v>
      </c>
      <c r="D14">
        <v>3</v>
      </c>
      <c r="E14">
        <v>5</v>
      </c>
      <c r="F14">
        <v>3</v>
      </c>
      <c r="G14">
        <v>5</v>
      </c>
      <c r="K14" s="2" t="s">
        <v>32</v>
      </c>
      <c r="L14" s="2">
        <v>3</v>
      </c>
      <c r="M14" s="2">
        <v>3</v>
      </c>
      <c r="N14" s="2">
        <v>2</v>
      </c>
      <c r="O14" s="2">
        <v>3</v>
      </c>
      <c r="P14" s="2">
        <v>2</v>
      </c>
      <c r="Q14" s="2">
        <v>3</v>
      </c>
      <c r="Y14" t="s">
        <v>32</v>
      </c>
      <c r="Z14">
        <v>4</v>
      </c>
      <c r="AA14">
        <v>5</v>
      </c>
      <c r="AB14">
        <v>3</v>
      </c>
      <c r="AC14">
        <v>5</v>
      </c>
      <c r="AD14">
        <v>3</v>
      </c>
      <c r="AE14">
        <v>5</v>
      </c>
    </row>
    <row r="15" spans="1:31" x14ac:dyDescent="0.2">
      <c r="A15" t="s">
        <v>32</v>
      </c>
      <c r="B15">
        <v>3</v>
      </c>
      <c r="C15">
        <v>4</v>
      </c>
      <c r="D15">
        <v>3</v>
      </c>
      <c r="E15">
        <v>5</v>
      </c>
      <c r="F15">
        <v>4</v>
      </c>
      <c r="G15">
        <v>4</v>
      </c>
      <c r="K15" s="2" t="s">
        <v>32</v>
      </c>
      <c r="L15" s="2">
        <v>2</v>
      </c>
      <c r="M15" s="2">
        <v>3</v>
      </c>
      <c r="N15" s="2">
        <v>2</v>
      </c>
      <c r="O15" s="2">
        <v>3</v>
      </c>
      <c r="P15" s="2">
        <v>3</v>
      </c>
      <c r="Q15" s="2">
        <v>3</v>
      </c>
      <c r="Y15" t="s">
        <v>32</v>
      </c>
      <c r="Z15">
        <v>3</v>
      </c>
      <c r="AA15">
        <v>4</v>
      </c>
      <c r="AB15">
        <v>3</v>
      </c>
      <c r="AC15">
        <v>5</v>
      </c>
      <c r="AD15">
        <v>4</v>
      </c>
      <c r="AE15">
        <v>4</v>
      </c>
    </row>
    <row r="16" spans="1:31" x14ac:dyDescent="0.2">
      <c r="A16" t="s">
        <v>33</v>
      </c>
      <c r="B16">
        <v>5</v>
      </c>
      <c r="C16">
        <v>5</v>
      </c>
      <c r="D16">
        <v>5</v>
      </c>
      <c r="E16">
        <v>5</v>
      </c>
      <c r="F16">
        <v>4</v>
      </c>
      <c r="G16">
        <v>4</v>
      </c>
      <c r="K16" s="2" t="s">
        <v>33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Y16" t="s">
        <v>33</v>
      </c>
      <c r="Z16">
        <v>5</v>
      </c>
      <c r="AA16">
        <v>5</v>
      </c>
      <c r="AB16">
        <v>5</v>
      </c>
      <c r="AC16">
        <v>5</v>
      </c>
      <c r="AD16">
        <v>4</v>
      </c>
      <c r="AE16">
        <v>4</v>
      </c>
    </row>
    <row r="17" spans="1:31" x14ac:dyDescent="0.2">
      <c r="A17" t="s">
        <v>33</v>
      </c>
      <c r="B17">
        <v>4</v>
      </c>
      <c r="C17">
        <v>4</v>
      </c>
      <c r="D17">
        <v>3</v>
      </c>
      <c r="E17">
        <v>4</v>
      </c>
      <c r="F17">
        <v>3</v>
      </c>
      <c r="G17">
        <v>4</v>
      </c>
      <c r="K17" s="2" t="s">
        <v>33</v>
      </c>
      <c r="L17" s="2">
        <v>3</v>
      </c>
      <c r="M17" s="2">
        <v>3</v>
      </c>
      <c r="N17" s="2">
        <v>2</v>
      </c>
      <c r="O17" s="2">
        <v>3</v>
      </c>
      <c r="P17" s="2">
        <v>2</v>
      </c>
      <c r="Q17" s="2">
        <v>3</v>
      </c>
      <c r="Y17" t="s">
        <v>33</v>
      </c>
      <c r="Z17">
        <v>4</v>
      </c>
      <c r="AA17">
        <v>4</v>
      </c>
      <c r="AB17">
        <v>3</v>
      </c>
      <c r="AC17">
        <v>4</v>
      </c>
      <c r="AD17">
        <v>3</v>
      </c>
      <c r="AE17">
        <v>4</v>
      </c>
    </row>
    <row r="18" spans="1:31" x14ac:dyDescent="0.2">
      <c r="A18" t="s">
        <v>33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K18" s="2" t="s">
        <v>33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Y18" t="s">
        <v>33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</row>
    <row r="19" spans="1:31" x14ac:dyDescent="0.2">
      <c r="A19" t="s">
        <v>33</v>
      </c>
      <c r="B19">
        <v>4</v>
      </c>
      <c r="C19">
        <v>3</v>
      </c>
      <c r="D19">
        <v>4</v>
      </c>
      <c r="E19">
        <v>5</v>
      </c>
      <c r="F19">
        <v>4</v>
      </c>
      <c r="G19">
        <v>3</v>
      </c>
      <c r="K19" s="2" t="s">
        <v>33</v>
      </c>
      <c r="L19" s="2">
        <v>3</v>
      </c>
      <c r="M19" s="2">
        <v>2</v>
      </c>
      <c r="N19" s="2">
        <v>3</v>
      </c>
      <c r="O19" s="2">
        <v>3</v>
      </c>
      <c r="P19" s="2">
        <v>3</v>
      </c>
      <c r="Q19" s="2">
        <v>2</v>
      </c>
      <c r="Y19" t="s">
        <v>33</v>
      </c>
      <c r="Z19">
        <v>4</v>
      </c>
      <c r="AA19">
        <v>3</v>
      </c>
      <c r="AB19">
        <v>4</v>
      </c>
      <c r="AC19">
        <v>5</v>
      </c>
      <c r="AD19">
        <v>4</v>
      </c>
      <c r="AE19">
        <v>3</v>
      </c>
    </row>
    <row r="20" spans="1:31" x14ac:dyDescent="0.2">
      <c r="A20" t="s">
        <v>33</v>
      </c>
      <c r="B20">
        <v>4</v>
      </c>
      <c r="C20">
        <v>4</v>
      </c>
      <c r="D20">
        <v>3</v>
      </c>
      <c r="E20">
        <v>5</v>
      </c>
      <c r="F20">
        <v>2</v>
      </c>
      <c r="G20">
        <v>4</v>
      </c>
      <c r="K20" s="2" t="s">
        <v>33</v>
      </c>
      <c r="L20" s="2">
        <v>3</v>
      </c>
      <c r="M20" s="2">
        <v>3</v>
      </c>
      <c r="N20" s="2">
        <v>2</v>
      </c>
      <c r="O20" s="2">
        <v>3</v>
      </c>
      <c r="P20" s="2">
        <v>1</v>
      </c>
      <c r="Q20" s="2">
        <v>3</v>
      </c>
      <c r="Y20" t="s">
        <v>33</v>
      </c>
      <c r="Z20">
        <v>4</v>
      </c>
      <c r="AA20">
        <v>4</v>
      </c>
      <c r="AB20">
        <v>3</v>
      </c>
      <c r="AC20">
        <v>5</v>
      </c>
      <c r="AD20">
        <v>2</v>
      </c>
      <c r="AE20">
        <v>4</v>
      </c>
    </row>
    <row r="21" spans="1:31" x14ac:dyDescent="0.2">
      <c r="A21" t="s">
        <v>33</v>
      </c>
      <c r="B21">
        <v>5</v>
      </c>
      <c r="C21">
        <v>3</v>
      </c>
      <c r="D21">
        <v>3</v>
      </c>
      <c r="E21">
        <v>4</v>
      </c>
      <c r="F21">
        <v>3</v>
      </c>
      <c r="G21">
        <v>3</v>
      </c>
      <c r="K21" s="2" t="s">
        <v>33</v>
      </c>
      <c r="L21" s="2">
        <v>3</v>
      </c>
      <c r="M21" s="2">
        <v>2</v>
      </c>
      <c r="N21" s="2">
        <v>2</v>
      </c>
      <c r="O21" s="2">
        <v>3</v>
      </c>
      <c r="P21" s="2">
        <v>2</v>
      </c>
      <c r="Q21" s="2">
        <v>2</v>
      </c>
      <c r="Y21" t="s">
        <v>33</v>
      </c>
      <c r="Z21">
        <v>5</v>
      </c>
      <c r="AA21">
        <v>3</v>
      </c>
      <c r="AB21">
        <v>3</v>
      </c>
      <c r="AC21">
        <v>4</v>
      </c>
      <c r="AD21">
        <v>3</v>
      </c>
      <c r="AE21">
        <v>3</v>
      </c>
    </row>
    <row r="22" spans="1:31" x14ac:dyDescent="0.2">
      <c r="A22" t="s">
        <v>33</v>
      </c>
      <c r="B22">
        <v>5</v>
      </c>
      <c r="C22">
        <v>4</v>
      </c>
      <c r="D22">
        <v>4</v>
      </c>
      <c r="E22">
        <v>4</v>
      </c>
      <c r="F22">
        <v>2</v>
      </c>
      <c r="G22">
        <v>4</v>
      </c>
      <c r="K22" s="2" t="s">
        <v>33</v>
      </c>
      <c r="L22" s="2">
        <v>3</v>
      </c>
      <c r="M22" s="2">
        <v>3</v>
      </c>
      <c r="N22" s="2">
        <v>3</v>
      </c>
      <c r="O22" s="2">
        <v>3</v>
      </c>
      <c r="P22" s="2">
        <v>1</v>
      </c>
      <c r="Q22" s="2">
        <v>3</v>
      </c>
      <c r="Y22" t="s">
        <v>33</v>
      </c>
      <c r="Z22">
        <v>5</v>
      </c>
      <c r="AA22">
        <v>4</v>
      </c>
      <c r="AB22">
        <v>4</v>
      </c>
      <c r="AC22">
        <v>4</v>
      </c>
      <c r="AD22">
        <v>2</v>
      </c>
      <c r="AE22">
        <v>4</v>
      </c>
    </row>
    <row r="23" spans="1:31" x14ac:dyDescent="0.2">
      <c r="A23" t="s">
        <v>31</v>
      </c>
      <c r="B23">
        <v>3</v>
      </c>
      <c r="C23">
        <v>4</v>
      </c>
      <c r="D23">
        <v>3</v>
      </c>
      <c r="E23">
        <v>4</v>
      </c>
      <c r="F23">
        <v>3</v>
      </c>
      <c r="G23">
        <v>4</v>
      </c>
      <c r="K23" s="2" t="s">
        <v>31</v>
      </c>
      <c r="L23" s="2">
        <v>2</v>
      </c>
      <c r="M23" s="2">
        <v>3</v>
      </c>
      <c r="N23" s="2">
        <v>2</v>
      </c>
      <c r="O23" s="2">
        <v>3</v>
      </c>
      <c r="P23" s="2">
        <v>2</v>
      </c>
      <c r="Q23" s="2">
        <v>3</v>
      </c>
      <c r="Y23" t="s">
        <v>31</v>
      </c>
      <c r="Z23">
        <v>3</v>
      </c>
      <c r="AA23">
        <v>4</v>
      </c>
      <c r="AB23">
        <v>3</v>
      </c>
      <c r="AC23">
        <v>4</v>
      </c>
      <c r="AD23">
        <v>3</v>
      </c>
      <c r="AE23">
        <v>4</v>
      </c>
    </row>
    <row r="24" spans="1:31" x14ac:dyDescent="0.2">
      <c r="A24" t="s">
        <v>31</v>
      </c>
      <c r="B24">
        <v>3</v>
      </c>
      <c r="C24">
        <v>4</v>
      </c>
      <c r="D24">
        <v>3</v>
      </c>
      <c r="E24">
        <v>4</v>
      </c>
      <c r="F24">
        <v>3</v>
      </c>
      <c r="G24">
        <v>3</v>
      </c>
      <c r="K24" s="2" t="s">
        <v>31</v>
      </c>
      <c r="L24" s="2">
        <v>2</v>
      </c>
      <c r="M24" s="2">
        <v>3</v>
      </c>
      <c r="N24" s="2">
        <v>2</v>
      </c>
      <c r="O24" s="2">
        <v>3</v>
      </c>
      <c r="P24" s="2">
        <v>2</v>
      </c>
      <c r="Q24" s="2">
        <v>2</v>
      </c>
      <c r="Y24" t="s">
        <v>31</v>
      </c>
      <c r="Z24">
        <v>3</v>
      </c>
      <c r="AA24">
        <v>4</v>
      </c>
      <c r="AB24">
        <v>3</v>
      </c>
      <c r="AC24">
        <v>4</v>
      </c>
      <c r="AD24">
        <v>3</v>
      </c>
      <c r="AE24">
        <v>3</v>
      </c>
    </row>
    <row r="25" spans="1:31" x14ac:dyDescent="0.2">
      <c r="A25" t="s">
        <v>31</v>
      </c>
      <c r="B25">
        <v>4</v>
      </c>
      <c r="C25">
        <v>4</v>
      </c>
      <c r="D25">
        <v>3</v>
      </c>
      <c r="E25">
        <v>4</v>
      </c>
      <c r="F25">
        <v>3</v>
      </c>
      <c r="G25">
        <v>4</v>
      </c>
      <c r="K25" s="2" t="s">
        <v>31</v>
      </c>
      <c r="L25" s="2">
        <v>3</v>
      </c>
      <c r="M25" s="2">
        <v>3</v>
      </c>
      <c r="N25" s="2">
        <v>2</v>
      </c>
      <c r="O25" s="2">
        <v>3</v>
      </c>
      <c r="P25" s="2">
        <v>2</v>
      </c>
      <c r="Q25" s="2">
        <v>3</v>
      </c>
      <c r="Y25" t="s">
        <v>31</v>
      </c>
      <c r="Z25">
        <v>4</v>
      </c>
      <c r="AA25">
        <v>4</v>
      </c>
      <c r="AB25">
        <v>3</v>
      </c>
      <c r="AC25">
        <v>4</v>
      </c>
      <c r="AD25">
        <v>3</v>
      </c>
      <c r="AE25">
        <v>4</v>
      </c>
    </row>
    <row r="26" spans="1:31" x14ac:dyDescent="0.2">
      <c r="A26" t="s">
        <v>31</v>
      </c>
      <c r="B26">
        <v>4</v>
      </c>
      <c r="C26">
        <v>3</v>
      </c>
      <c r="D26">
        <v>3</v>
      </c>
      <c r="E26">
        <v>3</v>
      </c>
      <c r="F26">
        <v>3</v>
      </c>
      <c r="G26">
        <v>3</v>
      </c>
      <c r="K26" s="2" t="s">
        <v>31</v>
      </c>
      <c r="L26" s="2">
        <v>3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Y26" t="s">
        <v>31</v>
      </c>
      <c r="Z26">
        <v>4</v>
      </c>
      <c r="AA26">
        <v>3</v>
      </c>
      <c r="AB26">
        <v>3</v>
      </c>
      <c r="AC26">
        <v>3</v>
      </c>
      <c r="AD26">
        <v>3</v>
      </c>
      <c r="AE26">
        <v>3</v>
      </c>
    </row>
    <row r="27" spans="1:31" x14ac:dyDescent="0.2">
      <c r="A27" t="s">
        <v>31</v>
      </c>
      <c r="B27">
        <v>4</v>
      </c>
      <c r="C27">
        <v>3</v>
      </c>
      <c r="D27">
        <v>3</v>
      </c>
      <c r="E27">
        <v>5</v>
      </c>
      <c r="F27">
        <v>4</v>
      </c>
      <c r="G27">
        <v>1</v>
      </c>
      <c r="K27" s="2" t="s">
        <v>31</v>
      </c>
      <c r="L27" s="2">
        <v>3</v>
      </c>
      <c r="M27" s="2">
        <v>2</v>
      </c>
      <c r="N27" s="2">
        <v>2</v>
      </c>
      <c r="O27" s="2">
        <v>3</v>
      </c>
      <c r="P27" s="2">
        <v>3</v>
      </c>
      <c r="Q27" s="2">
        <v>1</v>
      </c>
      <c r="Y27" t="s">
        <v>31</v>
      </c>
      <c r="Z27">
        <v>4</v>
      </c>
      <c r="AA27">
        <v>3</v>
      </c>
      <c r="AB27">
        <v>3</v>
      </c>
      <c r="AC27">
        <v>5</v>
      </c>
      <c r="AD27">
        <v>4</v>
      </c>
      <c r="AE27">
        <v>1</v>
      </c>
    </row>
    <row r="28" spans="1:31" x14ac:dyDescent="0.2">
      <c r="A28" t="s">
        <v>31</v>
      </c>
      <c r="B28">
        <v>4</v>
      </c>
      <c r="C28">
        <v>4</v>
      </c>
      <c r="D28">
        <v>3</v>
      </c>
      <c r="E28">
        <v>4</v>
      </c>
      <c r="F28">
        <v>1</v>
      </c>
      <c r="G28">
        <v>4</v>
      </c>
      <c r="K28" s="2" t="s">
        <v>31</v>
      </c>
      <c r="L28" s="2">
        <v>3</v>
      </c>
      <c r="M28" s="2">
        <v>3</v>
      </c>
      <c r="N28" s="2">
        <v>2</v>
      </c>
      <c r="O28" s="2">
        <v>3</v>
      </c>
      <c r="P28" s="2">
        <v>1</v>
      </c>
      <c r="Q28" s="2">
        <v>3</v>
      </c>
      <c r="Y28" t="s">
        <v>31</v>
      </c>
      <c r="Z28">
        <v>4</v>
      </c>
      <c r="AA28">
        <v>4</v>
      </c>
      <c r="AB28">
        <v>3</v>
      </c>
      <c r="AC28">
        <v>4</v>
      </c>
      <c r="AD28">
        <v>1</v>
      </c>
      <c r="AE28">
        <v>4</v>
      </c>
    </row>
    <row r="29" spans="1:31" x14ac:dyDescent="0.2">
      <c r="A29" t="s">
        <v>31</v>
      </c>
      <c r="B29">
        <v>3</v>
      </c>
      <c r="C29">
        <v>4</v>
      </c>
      <c r="D29">
        <v>3</v>
      </c>
      <c r="E29">
        <v>5</v>
      </c>
      <c r="F29">
        <v>3</v>
      </c>
      <c r="G29">
        <v>2</v>
      </c>
      <c r="K29" s="2" t="s">
        <v>31</v>
      </c>
      <c r="L29" s="2">
        <v>2</v>
      </c>
      <c r="M29" s="2">
        <v>3</v>
      </c>
      <c r="N29" s="2">
        <v>2</v>
      </c>
      <c r="O29" s="2">
        <v>3</v>
      </c>
      <c r="P29" s="2">
        <v>2</v>
      </c>
      <c r="Q29" s="2">
        <v>1</v>
      </c>
      <c r="Y29" t="s">
        <v>31</v>
      </c>
      <c r="Z29">
        <v>3</v>
      </c>
      <c r="AA29">
        <v>4</v>
      </c>
      <c r="AB29">
        <v>3</v>
      </c>
      <c r="AC29">
        <v>5</v>
      </c>
      <c r="AD29">
        <v>3</v>
      </c>
      <c r="AE29">
        <v>2</v>
      </c>
    </row>
    <row r="30" spans="1:31" x14ac:dyDescent="0.2">
      <c r="A30" t="s">
        <v>31</v>
      </c>
      <c r="B30">
        <v>5</v>
      </c>
      <c r="C30">
        <v>5</v>
      </c>
      <c r="D30">
        <v>2</v>
      </c>
      <c r="E30">
        <v>5</v>
      </c>
      <c r="F30">
        <v>3</v>
      </c>
      <c r="G30">
        <v>4</v>
      </c>
      <c r="K30" s="2" t="s">
        <v>31</v>
      </c>
      <c r="L30" s="2">
        <v>3</v>
      </c>
      <c r="M30" s="2">
        <v>3</v>
      </c>
      <c r="N30" s="2">
        <v>1</v>
      </c>
      <c r="O30" s="2">
        <v>3</v>
      </c>
      <c r="P30" s="2">
        <v>2</v>
      </c>
      <c r="Q30" s="2">
        <v>3</v>
      </c>
      <c r="Y30" t="s">
        <v>31</v>
      </c>
      <c r="Z30">
        <v>5</v>
      </c>
      <c r="AA30">
        <v>5</v>
      </c>
      <c r="AB30">
        <v>2</v>
      </c>
      <c r="AC30">
        <v>5</v>
      </c>
      <c r="AD30">
        <v>3</v>
      </c>
      <c r="AE30">
        <v>4</v>
      </c>
    </row>
    <row r="31" spans="1:31" x14ac:dyDescent="0.2">
      <c r="A31" t="s">
        <v>31</v>
      </c>
      <c r="B31">
        <v>5</v>
      </c>
      <c r="C31">
        <v>4</v>
      </c>
      <c r="D31">
        <v>4</v>
      </c>
      <c r="E31">
        <v>5</v>
      </c>
      <c r="F31">
        <v>3</v>
      </c>
      <c r="G31">
        <v>3</v>
      </c>
      <c r="K31" s="2" t="s">
        <v>31</v>
      </c>
      <c r="L31" s="2">
        <v>3</v>
      </c>
      <c r="M31" s="2">
        <v>3</v>
      </c>
      <c r="N31" s="2">
        <v>3</v>
      </c>
      <c r="O31" s="2">
        <v>3</v>
      </c>
      <c r="P31" s="2">
        <v>2</v>
      </c>
      <c r="Q31" s="2">
        <v>2</v>
      </c>
      <c r="Y31" t="s">
        <v>31</v>
      </c>
      <c r="Z31">
        <v>5</v>
      </c>
      <c r="AA31">
        <v>4</v>
      </c>
      <c r="AB31">
        <v>4</v>
      </c>
      <c r="AC31">
        <v>5</v>
      </c>
      <c r="AD31">
        <v>3</v>
      </c>
      <c r="AE31">
        <v>3</v>
      </c>
    </row>
    <row r="32" spans="1:31" x14ac:dyDescent="0.2">
      <c r="A32" t="s">
        <v>31</v>
      </c>
      <c r="B32">
        <v>5</v>
      </c>
      <c r="C32">
        <v>5</v>
      </c>
      <c r="D32">
        <v>4</v>
      </c>
      <c r="E32">
        <v>5</v>
      </c>
      <c r="F32">
        <v>4</v>
      </c>
      <c r="G32">
        <v>5</v>
      </c>
      <c r="K32" s="2" t="s">
        <v>31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Y32" t="s">
        <v>31</v>
      </c>
      <c r="Z32">
        <v>5</v>
      </c>
      <c r="AA32">
        <v>5</v>
      </c>
      <c r="AB32">
        <v>4</v>
      </c>
      <c r="AC32">
        <v>5</v>
      </c>
      <c r="AD32">
        <v>4</v>
      </c>
      <c r="AE32">
        <v>5</v>
      </c>
    </row>
    <row r="33" spans="1:31" x14ac:dyDescent="0.2">
      <c r="A33" t="s">
        <v>31</v>
      </c>
      <c r="B33">
        <v>4</v>
      </c>
      <c r="C33">
        <v>4</v>
      </c>
      <c r="D33">
        <v>3</v>
      </c>
      <c r="E33">
        <v>5</v>
      </c>
      <c r="F33">
        <v>5</v>
      </c>
      <c r="G33">
        <v>4</v>
      </c>
      <c r="K33" s="2" t="s">
        <v>31</v>
      </c>
      <c r="L33" s="2">
        <v>3</v>
      </c>
      <c r="M33" s="2">
        <v>3</v>
      </c>
      <c r="N33" s="2">
        <v>2</v>
      </c>
      <c r="O33" s="2">
        <v>3</v>
      </c>
      <c r="P33" s="2">
        <v>3</v>
      </c>
      <c r="Q33" s="2">
        <v>3</v>
      </c>
      <c r="Y33" t="s">
        <v>31</v>
      </c>
      <c r="Z33">
        <v>4</v>
      </c>
      <c r="AA33">
        <v>4</v>
      </c>
      <c r="AB33">
        <v>3</v>
      </c>
      <c r="AC33">
        <v>5</v>
      </c>
      <c r="AD33">
        <v>5</v>
      </c>
      <c r="AE33">
        <v>4</v>
      </c>
    </row>
    <row r="34" spans="1:31" x14ac:dyDescent="0.2">
      <c r="A34" t="s">
        <v>31</v>
      </c>
      <c r="B34">
        <v>3</v>
      </c>
      <c r="C34">
        <v>4</v>
      </c>
      <c r="D34">
        <v>3</v>
      </c>
      <c r="E34">
        <v>4</v>
      </c>
      <c r="F34">
        <v>3</v>
      </c>
      <c r="G34">
        <v>3</v>
      </c>
      <c r="K34" s="2" t="s">
        <v>31</v>
      </c>
      <c r="L34" s="2">
        <v>2</v>
      </c>
      <c r="M34" s="2">
        <v>3</v>
      </c>
      <c r="N34" s="2">
        <v>2</v>
      </c>
      <c r="O34" s="2">
        <v>3</v>
      </c>
      <c r="P34" s="2">
        <v>2</v>
      </c>
      <c r="Q34" s="2">
        <v>2</v>
      </c>
      <c r="Y34" t="s">
        <v>31</v>
      </c>
      <c r="Z34">
        <v>3</v>
      </c>
      <c r="AA34">
        <v>4</v>
      </c>
      <c r="AB34">
        <v>3</v>
      </c>
      <c r="AC34">
        <v>4</v>
      </c>
      <c r="AD34">
        <v>3</v>
      </c>
      <c r="AE34">
        <v>3</v>
      </c>
    </row>
    <row r="35" spans="1:31" x14ac:dyDescent="0.2">
      <c r="A35" t="s">
        <v>31</v>
      </c>
      <c r="B35">
        <v>4</v>
      </c>
      <c r="C35">
        <v>5</v>
      </c>
      <c r="D35">
        <v>4</v>
      </c>
      <c r="E35">
        <v>5</v>
      </c>
      <c r="F35">
        <v>4</v>
      </c>
      <c r="G35">
        <v>4</v>
      </c>
      <c r="K35" s="2" t="s">
        <v>31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Y35" t="s">
        <v>31</v>
      </c>
      <c r="Z35">
        <v>4</v>
      </c>
      <c r="AA35">
        <v>5</v>
      </c>
      <c r="AB35">
        <v>4</v>
      </c>
      <c r="AC35">
        <v>5</v>
      </c>
      <c r="AD35">
        <v>4</v>
      </c>
      <c r="AE35">
        <v>4</v>
      </c>
    </row>
    <row r="36" spans="1:31" x14ac:dyDescent="0.2">
      <c r="A36" t="s">
        <v>31</v>
      </c>
      <c r="B36">
        <v>5</v>
      </c>
      <c r="C36">
        <v>4</v>
      </c>
      <c r="D36">
        <v>5</v>
      </c>
      <c r="E36">
        <v>5</v>
      </c>
      <c r="F36">
        <v>3</v>
      </c>
      <c r="G36">
        <v>5</v>
      </c>
      <c r="K36" s="2" t="s">
        <v>31</v>
      </c>
      <c r="L36" s="2">
        <v>3</v>
      </c>
      <c r="M36" s="2">
        <v>3</v>
      </c>
      <c r="N36" s="2">
        <v>3</v>
      </c>
      <c r="O36" s="2">
        <v>3</v>
      </c>
      <c r="P36" s="2">
        <v>2</v>
      </c>
      <c r="Q36" s="2">
        <v>3</v>
      </c>
      <c r="Y36" t="s">
        <v>31</v>
      </c>
      <c r="Z36">
        <v>5</v>
      </c>
      <c r="AA36">
        <v>4</v>
      </c>
      <c r="AB36">
        <v>5</v>
      </c>
      <c r="AC36">
        <v>5</v>
      </c>
      <c r="AD36">
        <v>3</v>
      </c>
      <c r="AE36">
        <v>5</v>
      </c>
    </row>
    <row r="37" spans="1:31" x14ac:dyDescent="0.2">
      <c r="A37" t="s">
        <v>31</v>
      </c>
      <c r="B37">
        <v>2</v>
      </c>
      <c r="C37">
        <v>3</v>
      </c>
      <c r="D37">
        <v>3</v>
      </c>
      <c r="E37">
        <v>3</v>
      </c>
      <c r="F37">
        <v>3</v>
      </c>
      <c r="G37">
        <v>4</v>
      </c>
      <c r="K37" s="2" t="s">
        <v>31</v>
      </c>
      <c r="L37" s="2">
        <v>1</v>
      </c>
      <c r="M37" s="2">
        <v>2</v>
      </c>
      <c r="N37" s="2">
        <v>2</v>
      </c>
      <c r="O37" s="2">
        <v>2</v>
      </c>
      <c r="P37" s="2">
        <v>2</v>
      </c>
      <c r="Q37" s="2">
        <v>3</v>
      </c>
      <c r="Y37" t="s">
        <v>31</v>
      </c>
      <c r="Z37">
        <v>2</v>
      </c>
      <c r="AA37">
        <v>3</v>
      </c>
      <c r="AB37">
        <v>3</v>
      </c>
      <c r="AC37">
        <v>3</v>
      </c>
      <c r="AD37">
        <v>3</v>
      </c>
      <c r="AE37">
        <v>4</v>
      </c>
    </row>
    <row r="38" spans="1:31" x14ac:dyDescent="0.2">
      <c r="A38" t="s">
        <v>31</v>
      </c>
      <c r="B38">
        <v>5</v>
      </c>
      <c r="C38">
        <v>5</v>
      </c>
      <c r="D38">
        <v>2</v>
      </c>
      <c r="E38">
        <v>5</v>
      </c>
      <c r="F38">
        <v>2</v>
      </c>
      <c r="G38">
        <v>4</v>
      </c>
      <c r="K38" s="2" t="s">
        <v>31</v>
      </c>
      <c r="L38" s="2">
        <v>3</v>
      </c>
      <c r="M38" s="2">
        <v>3</v>
      </c>
      <c r="N38" s="2">
        <v>1</v>
      </c>
      <c r="O38" s="2">
        <v>3</v>
      </c>
      <c r="P38" s="2">
        <v>1</v>
      </c>
      <c r="Q38" s="2">
        <v>3</v>
      </c>
      <c r="Y38" t="s">
        <v>31</v>
      </c>
      <c r="Z38">
        <v>5</v>
      </c>
      <c r="AA38">
        <v>5</v>
      </c>
      <c r="AB38">
        <v>2</v>
      </c>
      <c r="AC38">
        <v>5</v>
      </c>
      <c r="AD38">
        <v>2</v>
      </c>
      <c r="AE38">
        <v>4</v>
      </c>
    </row>
    <row r="39" spans="1:31" x14ac:dyDescent="0.2">
      <c r="A39" t="s">
        <v>31</v>
      </c>
      <c r="B39">
        <v>5</v>
      </c>
      <c r="C39">
        <v>4</v>
      </c>
      <c r="D39">
        <v>5</v>
      </c>
      <c r="E39">
        <v>5</v>
      </c>
      <c r="F39">
        <v>4</v>
      </c>
      <c r="G39">
        <v>5</v>
      </c>
      <c r="K39" s="2" t="s">
        <v>31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Y39" t="s">
        <v>31</v>
      </c>
      <c r="Z39">
        <v>5</v>
      </c>
      <c r="AA39">
        <v>4</v>
      </c>
      <c r="AB39">
        <v>5</v>
      </c>
      <c r="AC39">
        <v>5</v>
      </c>
      <c r="AD39">
        <v>4</v>
      </c>
      <c r="AE39">
        <v>5</v>
      </c>
    </row>
    <row r="40" spans="1:31" x14ac:dyDescent="0.2">
      <c r="A40" t="s">
        <v>31</v>
      </c>
      <c r="B40">
        <v>5</v>
      </c>
      <c r="C40">
        <v>5</v>
      </c>
      <c r="D40">
        <v>5</v>
      </c>
      <c r="E40">
        <v>5</v>
      </c>
      <c r="F40">
        <v>3</v>
      </c>
      <c r="G40">
        <v>5</v>
      </c>
      <c r="K40" s="2" t="s">
        <v>31</v>
      </c>
      <c r="L40" s="2">
        <v>3</v>
      </c>
      <c r="M40" s="2">
        <v>3</v>
      </c>
      <c r="N40" s="2">
        <v>3</v>
      </c>
      <c r="O40" s="2">
        <v>3</v>
      </c>
      <c r="P40" s="2">
        <v>2</v>
      </c>
      <c r="Q40" s="2">
        <v>3</v>
      </c>
      <c r="Y40" t="s">
        <v>31</v>
      </c>
      <c r="Z40">
        <v>5</v>
      </c>
      <c r="AA40">
        <v>5</v>
      </c>
      <c r="AB40">
        <v>5</v>
      </c>
      <c r="AC40">
        <v>5</v>
      </c>
      <c r="AD40">
        <v>3</v>
      </c>
      <c r="AE40">
        <v>5</v>
      </c>
    </row>
    <row r="41" spans="1:31" x14ac:dyDescent="0.2">
      <c r="A41" t="s">
        <v>31</v>
      </c>
      <c r="B41">
        <v>4</v>
      </c>
      <c r="C41">
        <v>4</v>
      </c>
      <c r="D41">
        <v>4</v>
      </c>
      <c r="E41">
        <v>5</v>
      </c>
      <c r="F41">
        <v>5</v>
      </c>
      <c r="G41">
        <v>4</v>
      </c>
      <c r="K41" s="2" t="s">
        <v>31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Y41" t="s">
        <v>31</v>
      </c>
      <c r="Z41">
        <v>4</v>
      </c>
      <c r="AA41">
        <v>4</v>
      </c>
      <c r="AB41">
        <v>4</v>
      </c>
      <c r="AC41">
        <v>5</v>
      </c>
      <c r="AD41">
        <v>5</v>
      </c>
      <c r="AE41">
        <v>4</v>
      </c>
    </row>
    <row r="42" spans="1:31" x14ac:dyDescent="0.2">
      <c r="A42" t="s">
        <v>31</v>
      </c>
      <c r="B42">
        <v>5</v>
      </c>
      <c r="C42">
        <v>4</v>
      </c>
      <c r="D42">
        <v>4</v>
      </c>
      <c r="E42">
        <v>4</v>
      </c>
      <c r="F42">
        <v>4</v>
      </c>
      <c r="G42">
        <v>4</v>
      </c>
      <c r="K42" s="2" t="s">
        <v>31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Y42" t="s">
        <v>31</v>
      </c>
      <c r="Z42">
        <v>5</v>
      </c>
      <c r="AA42">
        <v>4</v>
      </c>
      <c r="AB42">
        <v>4</v>
      </c>
      <c r="AC42">
        <v>4</v>
      </c>
      <c r="AD42">
        <v>4</v>
      </c>
      <c r="AE42">
        <v>4</v>
      </c>
    </row>
    <row r="43" spans="1:31" x14ac:dyDescent="0.2">
      <c r="A43" t="s">
        <v>31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K43" s="2" t="s">
        <v>31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Y43" t="s">
        <v>31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</row>
    <row r="44" spans="1:31" x14ac:dyDescent="0.2">
      <c r="A44" t="s">
        <v>31</v>
      </c>
      <c r="B44">
        <v>4</v>
      </c>
      <c r="C44">
        <v>4</v>
      </c>
      <c r="D44">
        <v>3</v>
      </c>
      <c r="E44">
        <v>4</v>
      </c>
      <c r="F44">
        <v>3</v>
      </c>
      <c r="G44">
        <v>4</v>
      </c>
      <c r="K44" s="2" t="s">
        <v>31</v>
      </c>
      <c r="L44" s="2">
        <v>3</v>
      </c>
      <c r="M44" s="2">
        <v>3</v>
      </c>
      <c r="N44" s="2">
        <v>2</v>
      </c>
      <c r="O44" s="2">
        <v>3</v>
      </c>
      <c r="P44" s="2">
        <v>2</v>
      </c>
      <c r="Q44" s="2">
        <v>3</v>
      </c>
      <c r="Y44" t="s">
        <v>31</v>
      </c>
      <c r="Z44">
        <v>4</v>
      </c>
      <c r="AA44">
        <v>4</v>
      </c>
      <c r="AB44">
        <v>3</v>
      </c>
      <c r="AC44">
        <v>4</v>
      </c>
      <c r="AD44">
        <v>3</v>
      </c>
      <c r="AE44">
        <v>4</v>
      </c>
    </row>
    <row r="45" spans="1:31" x14ac:dyDescent="0.2">
      <c r="A45" t="s">
        <v>31</v>
      </c>
      <c r="B45">
        <v>4</v>
      </c>
      <c r="C45">
        <v>4</v>
      </c>
      <c r="D45">
        <v>4</v>
      </c>
      <c r="E45">
        <v>5</v>
      </c>
      <c r="F45">
        <v>4</v>
      </c>
      <c r="G45">
        <v>4</v>
      </c>
      <c r="K45" s="2" t="s">
        <v>31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Y45" t="s">
        <v>31</v>
      </c>
      <c r="Z45">
        <v>4</v>
      </c>
      <c r="AA45">
        <v>4</v>
      </c>
      <c r="AB45">
        <v>4</v>
      </c>
      <c r="AC45">
        <v>5</v>
      </c>
      <c r="AD45">
        <v>4</v>
      </c>
      <c r="AE45">
        <v>4</v>
      </c>
    </row>
    <row r="46" spans="1:31" x14ac:dyDescent="0.2">
      <c r="A46" t="s">
        <v>31</v>
      </c>
      <c r="B46">
        <v>5</v>
      </c>
      <c r="C46">
        <v>5</v>
      </c>
      <c r="D46">
        <v>4</v>
      </c>
      <c r="E46">
        <v>5</v>
      </c>
      <c r="F46">
        <v>5</v>
      </c>
      <c r="G46">
        <v>5</v>
      </c>
      <c r="K46" s="2" t="s">
        <v>31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Y46" t="s">
        <v>31</v>
      </c>
      <c r="Z46">
        <v>5</v>
      </c>
      <c r="AA46">
        <v>5</v>
      </c>
      <c r="AB46">
        <v>4</v>
      </c>
      <c r="AC46">
        <v>5</v>
      </c>
      <c r="AD46">
        <v>5</v>
      </c>
      <c r="AE46">
        <v>5</v>
      </c>
    </row>
    <row r="47" spans="1:31" x14ac:dyDescent="0.2">
      <c r="A47" t="s">
        <v>31</v>
      </c>
      <c r="B47">
        <v>4</v>
      </c>
      <c r="C47">
        <v>5</v>
      </c>
      <c r="D47">
        <v>3</v>
      </c>
      <c r="E47">
        <v>5</v>
      </c>
      <c r="F47">
        <v>3</v>
      </c>
      <c r="G47">
        <v>3</v>
      </c>
      <c r="K47" s="2" t="s">
        <v>31</v>
      </c>
      <c r="L47" s="2">
        <v>3</v>
      </c>
      <c r="M47" s="2">
        <v>3</v>
      </c>
      <c r="N47" s="2">
        <v>2</v>
      </c>
      <c r="O47" s="2">
        <v>3</v>
      </c>
      <c r="P47" s="2">
        <v>2</v>
      </c>
      <c r="Q47" s="2">
        <v>2</v>
      </c>
      <c r="Y47" t="s">
        <v>31</v>
      </c>
      <c r="Z47">
        <v>4</v>
      </c>
      <c r="AA47">
        <v>5</v>
      </c>
      <c r="AB47">
        <v>3</v>
      </c>
      <c r="AC47">
        <v>5</v>
      </c>
      <c r="AD47">
        <v>3</v>
      </c>
      <c r="AE47">
        <v>3</v>
      </c>
    </row>
    <row r="48" spans="1:31" x14ac:dyDescent="0.2">
      <c r="A48" t="s">
        <v>31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K48" s="2" t="s">
        <v>31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Y48" t="s">
        <v>31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</row>
    <row r="49" spans="1:31" x14ac:dyDescent="0.2">
      <c r="A49" t="s">
        <v>31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K49" s="2" t="s">
        <v>31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Y49" t="s">
        <v>31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</row>
    <row r="50" spans="1:31" x14ac:dyDescent="0.2">
      <c r="A50" t="s">
        <v>31</v>
      </c>
      <c r="B50">
        <v>5</v>
      </c>
      <c r="C50">
        <v>5</v>
      </c>
      <c r="D50">
        <v>4</v>
      </c>
      <c r="E50">
        <v>5</v>
      </c>
      <c r="F50">
        <v>3</v>
      </c>
      <c r="G50">
        <v>5</v>
      </c>
      <c r="K50" s="2" t="s">
        <v>31</v>
      </c>
      <c r="L50" s="2">
        <v>3</v>
      </c>
      <c r="M50" s="2">
        <v>3</v>
      </c>
      <c r="N50" s="2">
        <v>3</v>
      </c>
      <c r="O50" s="2">
        <v>3</v>
      </c>
      <c r="P50" s="2">
        <v>2</v>
      </c>
      <c r="Q50" s="2">
        <v>3</v>
      </c>
      <c r="Y50" t="s">
        <v>31</v>
      </c>
      <c r="Z50">
        <v>5</v>
      </c>
      <c r="AA50">
        <v>5</v>
      </c>
      <c r="AB50">
        <v>4</v>
      </c>
      <c r="AC50">
        <v>5</v>
      </c>
      <c r="AD50">
        <v>3</v>
      </c>
      <c r="AE50">
        <v>5</v>
      </c>
    </row>
    <row r="51" spans="1:31" x14ac:dyDescent="0.2">
      <c r="A51" t="s">
        <v>31</v>
      </c>
      <c r="B51">
        <v>4</v>
      </c>
      <c r="C51">
        <v>3</v>
      </c>
      <c r="D51">
        <v>3</v>
      </c>
      <c r="E51">
        <v>4</v>
      </c>
      <c r="F51">
        <v>2</v>
      </c>
      <c r="G51">
        <v>3</v>
      </c>
      <c r="K51" s="2" t="s">
        <v>31</v>
      </c>
      <c r="L51" s="2">
        <v>3</v>
      </c>
      <c r="M51" s="2">
        <v>2</v>
      </c>
      <c r="N51" s="2">
        <v>2</v>
      </c>
      <c r="O51" s="2">
        <v>3</v>
      </c>
      <c r="P51" s="2">
        <v>1</v>
      </c>
      <c r="Q51" s="2">
        <v>2</v>
      </c>
      <c r="Y51" t="s">
        <v>31</v>
      </c>
      <c r="Z51">
        <v>4</v>
      </c>
      <c r="AA51">
        <v>3</v>
      </c>
      <c r="AB51">
        <v>3</v>
      </c>
      <c r="AC51">
        <v>4</v>
      </c>
      <c r="AD51">
        <v>2</v>
      </c>
      <c r="AE51">
        <v>3</v>
      </c>
    </row>
    <row r="52" spans="1:31" x14ac:dyDescent="0.2">
      <c r="A52" t="s">
        <v>31</v>
      </c>
      <c r="B52">
        <v>5</v>
      </c>
      <c r="C52">
        <v>5</v>
      </c>
      <c r="D52">
        <v>4</v>
      </c>
      <c r="E52">
        <v>5</v>
      </c>
      <c r="F52">
        <v>1</v>
      </c>
      <c r="G52">
        <v>5</v>
      </c>
      <c r="K52" s="2" t="s">
        <v>31</v>
      </c>
      <c r="L52" s="2">
        <v>3</v>
      </c>
      <c r="M52" s="2">
        <v>3</v>
      </c>
      <c r="N52" s="2">
        <v>3</v>
      </c>
      <c r="O52" s="2">
        <v>3</v>
      </c>
      <c r="P52" s="2">
        <v>1</v>
      </c>
      <c r="Q52" s="2">
        <v>3</v>
      </c>
      <c r="Y52" t="s">
        <v>31</v>
      </c>
      <c r="Z52">
        <v>5</v>
      </c>
      <c r="AA52">
        <v>5</v>
      </c>
      <c r="AB52">
        <v>4</v>
      </c>
      <c r="AC52">
        <v>5</v>
      </c>
      <c r="AD52">
        <v>1</v>
      </c>
      <c r="AE52">
        <v>5</v>
      </c>
    </row>
    <row r="53" spans="1:31" x14ac:dyDescent="0.2">
      <c r="A53" t="s">
        <v>31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K53" s="2" t="s">
        <v>31</v>
      </c>
      <c r="L53" s="2">
        <v>3</v>
      </c>
      <c r="M53" s="2">
        <v>3</v>
      </c>
      <c r="N53" s="2">
        <v>3</v>
      </c>
      <c r="O53" s="2">
        <v>3</v>
      </c>
      <c r="P53" s="2">
        <v>3</v>
      </c>
      <c r="Q53" s="2">
        <v>3</v>
      </c>
      <c r="Y53" t="s">
        <v>31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</row>
    <row r="54" spans="1:31" x14ac:dyDescent="0.2">
      <c r="A54" t="s">
        <v>31</v>
      </c>
      <c r="B54">
        <v>4</v>
      </c>
      <c r="C54">
        <v>3</v>
      </c>
      <c r="D54">
        <v>4</v>
      </c>
      <c r="E54">
        <v>4</v>
      </c>
      <c r="F54">
        <v>3</v>
      </c>
      <c r="G54">
        <v>4</v>
      </c>
      <c r="K54" s="2" t="s">
        <v>31</v>
      </c>
      <c r="L54" s="2">
        <v>3</v>
      </c>
      <c r="M54" s="2">
        <v>2</v>
      </c>
      <c r="N54" s="2">
        <v>3</v>
      </c>
      <c r="O54" s="2">
        <v>3</v>
      </c>
      <c r="P54" s="2">
        <v>2</v>
      </c>
      <c r="Q54" s="2">
        <v>3</v>
      </c>
      <c r="Y54" t="s">
        <v>31</v>
      </c>
      <c r="Z54">
        <v>4</v>
      </c>
      <c r="AA54">
        <v>3</v>
      </c>
      <c r="AB54">
        <v>4</v>
      </c>
      <c r="AC54">
        <v>4</v>
      </c>
      <c r="AD54">
        <v>3</v>
      </c>
      <c r="AE54">
        <v>4</v>
      </c>
    </row>
    <row r="55" spans="1:31" x14ac:dyDescent="0.2">
      <c r="A55" t="s">
        <v>31</v>
      </c>
      <c r="B55">
        <v>4</v>
      </c>
      <c r="C55">
        <v>4</v>
      </c>
      <c r="D55">
        <v>3</v>
      </c>
      <c r="E55">
        <v>4</v>
      </c>
      <c r="F55">
        <v>3</v>
      </c>
      <c r="G55">
        <v>3</v>
      </c>
      <c r="K55" s="2" t="s">
        <v>31</v>
      </c>
      <c r="L55" s="2">
        <v>3</v>
      </c>
      <c r="M55" s="2">
        <v>3</v>
      </c>
      <c r="N55" s="2">
        <v>2</v>
      </c>
      <c r="O55" s="2">
        <v>3</v>
      </c>
      <c r="P55" s="2">
        <v>2</v>
      </c>
      <c r="Q55" s="2">
        <v>2</v>
      </c>
      <c r="Y55" t="s">
        <v>31</v>
      </c>
      <c r="Z55">
        <v>4</v>
      </c>
      <c r="AA55">
        <v>4</v>
      </c>
      <c r="AB55">
        <v>3</v>
      </c>
      <c r="AC55">
        <v>4</v>
      </c>
      <c r="AD55">
        <v>3</v>
      </c>
      <c r="AE55">
        <v>3</v>
      </c>
    </row>
    <row r="56" spans="1:31" x14ac:dyDescent="0.2">
      <c r="A56" t="s">
        <v>31</v>
      </c>
      <c r="B56">
        <v>4</v>
      </c>
      <c r="C56">
        <v>4</v>
      </c>
      <c r="D56">
        <v>4</v>
      </c>
      <c r="E56">
        <v>5</v>
      </c>
      <c r="F56">
        <v>4</v>
      </c>
      <c r="G56">
        <v>3</v>
      </c>
      <c r="K56" s="2" t="s">
        <v>31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2</v>
      </c>
      <c r="Y56" t="s">
        <v>31</v>
      </c>
      <c r="Z56">
        <v>4</v>
      </c>
      <c r="AA56">
        <v>4</v>
      </c>
      <c r="AB56">
        <v>4</v>
      </c>
      <c r="AC56">
        <v>5</v>
      </c>
      <c r="AD56">
        <v>4</v>
      </c>
      <c r="AE56">
        <v>3</v>
      </c>
    </row>
    <row r="57" spans="1:31" x14ac:dyDescent="0.2">
      <c r="A57" t="s">
        <v>31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K57" s="2" t="s">
        <v>31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Y57" t="s">
        <v>31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</row>
    <row r="58" spans="1:31" x14ac:dyDescent="0.2">
      <c r="A58" t="s">
        <v>31</v>
      </c>
      <c r="B58">
        <v>5</v>
      </c>
      <c r="C58">
        <v>5</v>
      </c>
      <c r="D58">
        <v>2</v>
      </c>
      <c r="E58">
        <v>5</v>
      </c>
      <c r="F58">
        <v>4</v>
      </c>
      <c r="G58">
        <v>5</v>
      </c>
      <c r="K58" s="2" t="s">
        <v>31</v>
      </c>
      <c r="L58" s="2">
        <v>3</v>
      </c>
      <c r="M58" s="2">
        <v>3</v>
      </c>
      <c r="N58" s="2">
        <v>1</v>
      </c>
      <c r="O58" s="2">
        <v>3</v>
      </c>
      <c r="P58" s="2">
        <v>3</v>
      </c>
      <c r="Q58" s="2">
        <v>3</v>
      </c>
      <c r="Y58" t="s">
        <v>31</v>
      </c>
      <c r="Z58">
        <v>5</v>
      </c>
      <c r="AA58">
        <v>5</v>
      </c>
      <c r="AB58">
        <v>2</v>
      </c>
      <c r="AC58">
        <v>5</v>
      </c>
      <c r="AD58">
        <v>4</v>
      </c>
      <c r="AE58">
        <v>5</v>
      </c>
    </row>
    <row r="59" spans="1:31" x14ac:dyDescent="0.2">
      <c r="A59" t="s">
        <v>31</v>
      </c>
      <c r="B59">
        <v>4</v>
      </c>
      <c r="C59">
        <v>4</v>
      </c>
      <c r="D59">
        <v>4</v>
      </c>
      <c r="E59">
        <v>5</v>
      </c>
      <c r="F59">
        <v>3</v>
      </c>
      <c r="G59">
        <v>3</v>
      </c>
      <c r="K59" s="2" t="s">
        <v>31</v>
      </c>
      <c r="L59" s="2">
        <v>3</v>
      </c>
      <c r="M59" s="2">
        <v>3</v>
      </c>
      <c r="N59" s="2">
        <v>3</v>
      </c>
      <c r="O59" s="2">
        <v>3</v>
      </c>
      <c r="P59" s="2">
        <v>2</v>
      </c>
      <c r="Q59" s="2">
        <v>2</v>
      </c>
      <c r="Y59" t="s">
        <v>31</v>
      </c>
      <c r="Z59">
        <v>4</v>
      </c>
      <c r="AA59">
        <v>4</v>
      </c>
      <c r="AB59">
        <v>4</v>
      </c>
      <c r="AC59">
        <v>5</v>
      </c>
      <c r="AD59">
        <v>3</v>
      </c>
      <c r="AE59">
        <v>3</v>
      </c>
    </row>
    <row r="60" spans="1:31" x14ac:dyDescent="0.2">
      <c r="A60" t="s">
        <v>31</v>
      </c>
      <c r="B60">
        <v>5</v>
      </c>
      <c r="C60">
        <v>5</v>
      </c>
      <c r="D60">
        <v>4</v>
      </c>
      <c r="E60">
        <v>4</v>
      </c>
      <c r="F60">
        <v>4</v>
      </c>
      <c r="G60">
        <v>3</v>
      </c>
      <c r="K60" s="2" t="s">
        <v>31</v>
      </c>
      <c r="L60" s="2">
        <v>3</v>
      </c>
      <c r="M60" s="2">
        <v>3</v>
      </c>
      <c r="N60" s="2">
        <v>3</v>
      </c>
      <c r="O60" s="2">
        <v>3</v>
      </c>
      <c r="P60" s="2">
        <v>3</v>
      </c>
      <c r="Q60" s="2">
        <v>2</v>
      </c>
      <c r="Y60" t="s">
        <v>31</v>
      </c>
      <c r="Z60">
        <v>5</v>
      </c>
      <c r="AA60">
        <v>5</v>
      </c>
      <c r="AB60">
        <v>4</v>
      </c>
      <c r="AC60">
        <v>4</v>
      </c>
      <c r="AD60">
        <v>4</v>
      </c>
      <c r="AE60">
        <v>3</v>
      </c>
    </row>
    <row r="61" spans="1:31" x14ac:dyDescent="0.2">
      <c r="A61" s="4" t="s">
        <v>50</v>
      </c>
      <c r="B61" s="5">
        <f>AVERAGE(B4:B60)</f>
        <v>4.2631578947368425</v>
      </c>
      <c r="C61" s="5">
        <f>AVERAGE(C4:C60)</f>
        <v>4.2631578947368425</v>
      </c>
      <c r="D61" s="5">
        <f t="shared" ref="D61:G61" si="0">AVERAGE(D4:D60)</f>
        <v>3.5789473684210527</v>
      </c>
      <c r="E61" s="5">
        <f>AVERAGE(E4:E60)</f>
        <v>4.5789473684210522</v>
      </c>
      <c r="F61" s="5">
        <f t="shared" si="0"/>
        <v>3.4035087719298245</v>
      </c>
      <c r="G61" s="5">
        <f t="shared" si="0"/>
        <v>3.9473684210526314</v>
      </c>
    </row>
    <row r="62" spans="1:31" x14ac:dyDescent="0.2">
      <c r="Y62" s="2" t="s">
        <v>58</v>
      </c>
      <c r="Z62" s="2" t="s">
        <v>35</v>
      </c>
      <c r="AA62" s="2" t="s">
        <v>35</v>
      </c>
      <c r="AB62" s="2" t="s">
        <v>35</v>
      </c>
      <c r="AC62" s="2" t="s">
        <v>35</v>
      </c>
      <c r="AD62" s="2" t="s">
        <v>35</v>
      </c>
      <c r="AE62" s="2" t="s">
        <v>35</v>
      </c>
    </row>
    <row r="63" spans="1:31" x14ac:dyDescent="0.2">
      <c r="K63" s="2"/>
      <c r="L63" s="2" t="s">
        <v>1</v>
      </c>
      <c r="M63" s="2" t="s">
        <v>11</v>
      </c>
      <c r="N63" s="2" t="s">
        <v>15</v>
      </c>
      <c r="O63" s="2" t="s">
        <v>17</v>
      </c>
      <c r="P63" s="2" t="s">
        <v>21</v>
      </c>
      <c r="Q63" s="2" t="s">
        <v>42</v>
      </c>
      <c r="Z63" t="s">
        <v>1</v>
      </c>
      <c r="AA63" t="s">
        <v>11</v>
      </c>
      <c r="AB63" t="s">
        <v>15</v>
      </c>
      <c r="AC63" t="s">
        <v>17</v>
      </c>
      <c r="AD63" t="s">
        <v>21</v>
      </c>
      <c r="AE63" t="s">
        <v>42</v>
      </c>
    </row>
    <row r="64" spans="1:31" x14ac:dyDescent="0.2">
      <c r="B64" t="s">
        <v>1</v>
      </c>
      <c r="C64" t="s">
        <v>11</v>
      </c>
      <c r="D64" t="s">
        <v>15</v>
      </c>
      <c r="E64" t="s">
        <v>17</v>
      </c>
      <c r="F64" t="s">
        <v>21</v>
      </c>
      <c r="G64" t="s">
        <v>42</v>
      </c>
      <c r="J64" s="2" t="s">
        <v>53</v>
      </c>
      <c r="X64">
        <v>4</v>
      </c>
      <c r="Y64" t="s">
        <v>44</v>
      </c>
      <c r="Z64">
        <f>COUNTIF(Z$3:Z$59,$X64)</f>
        <v>29</v>
      </c>
      <c r="AA64">
        <f t="shared" ref="AA64:AE65" si="1">COUNTIF(AA$3:AA$59,$X64)</f>
        <v>28</v>
      </c>
      <c r="AB64">
        <f>COUNTIF(AB$3:AB$59,$X64)</f>
        <v>19</v>
      </c>
      <c r="AC64">
        <f t="shared" si="1"/>
        <v>19</v>
      </c>
      <c r="AD64">
        <f t="shared" si="1"/>
        <v>17</v>
      </c>
      <c r="AE64">
        <f t="shared" si="1"/>
        <v>25</v>
      </c>
    </row>
    <row r="65" spans="1:31" x14ac:dyDescent="0.2">
      <c r="A65" s="4" t="s">
        <v>52</v>
      </c>
      <c r="B65" s="5">
        <f>AVERAGE(B16:B22,B4)</f>
        <v>4.5</v>
      </c>
      <c r="C65" s="5">
        <f t="shared" ref="C65:G65" si="2">AVERAGE(C16:C22,C4)</f>
        <v>4.125</v>
      </c>
      <c r="D65" s="5">
        <f t="shared" si="2"/>
        <v>3.875</v>
      </c>
      <c r="E65" s="5">
        <f t="shared" si="2"/>
        <v>4.5</v>
      </c>
      <c r="F65" s="5">
        <f t="shared" si="2"/>
        <v>3.375</v>
      </c>
      <c r="G65" s="5">
        <f t="shared" si="2"/>
        <v>3.875</v>
      </c>
      <c r="J65">
        <v>1</v>
      </c>
      <c r="K65" t="s">
        <v>54</v>
      </c>
      <c r="L65">
        <f>COUNTIF(L$4:L$60,$J65)</f>
        <v>1</v>
      </c>
      <c r="M65">
        <f t="shared" ref="M65:Q65" si="3">COUNTIF(M$4:M$60,$J65)</f>
        <v>0</v>
      </c>
      <c r="N65">
        <f t="shared" si="3"/>
        <v>3</v>
      </c>
      <c r="O65">
        <f t="shared" si="3"/>
        <v>0</v>
      </c>
      <c r="P65">
        <f t="shared" si="3"/>
        <v>7</v>
      </c>
      <c r="Q65">
        <f t="shared" si="3"/>
        <v>2</v>
      </c>
      <c r="X65">
        <v>5</v>
      </c>
      <c r="Y65" t="s">
        <v>45</v>
      </c>
      <c r="Z65">
        <f>COUNTIF(Z$3:Z$59,$X65)</f>
        <v>21</v>
      </c>
      <c r="AA65">
        <f t="shared" si="1"/>
        <v>21</v>
      </c>
      <c r="AB65">
        <f t="shared" si="1"/>
        <v>8</v>
      </c>
      <c r="AC65">
        <f t="shared" si="1"/>
        <v>35</v>
      </c>
      <c r="AD65">
        <f t="shared" si="1"/>
        <v>7</v>
      </c>
      <c r="AE65">
        <f t="shared" si="1"/>
        <v>16</v>
      </c>
    </row>
    <row r="66" spans="1:31" x14ac:dyDescent="0.2">
      <c r="J66">
        <v>2</v>
      </c>
      <c r="K66" t="s">
        <v>55</v>
      </c>
      <c r="L66">
        <f t="shared" ref="L66:Q67" si="4">COUNTIF(L$4:L$60,$J66)</f>
        <v>5</v>
      </c>
      <c r="M66">
        <f t="shared" si="4"/>
        <v>7</v>
      </c>
      <c r="N66">
        <f t="shared" si="4"/>
        <v>26</v>
      </c>
      <c r="O66">
        <f t="shared" si="4"/>
        <v>2</v>
      </c>
      <c r="P66">
        <f t="shared" si="4"/>
        <v>25</v>
      </c>
      <c r="Q66">
        <f t="shared" si="4"/>
        <v>14</v>
      </c>
      <c r="Y66" s="9" t="s">
        <v>57</v>
      </c>
      <c r="Z66" s="9">
        <f>SUM(Z64:Z65)</f>
        <v>50</v>
      </c>
      <c r="AA66" s="9">
        <f t="shared" ref="AA66:AE66" si="5">SUM(AA64:AA65)</f>
        <v>49</v>
      </c>
      <c r="AB66" s="9">
        <f t="shared" si="5"/>
        <v>27</v>
      </c>
      <c r="AC66" s="9">
        <f t="shared" si="5"/>
        <v>54</v>
      </c>
      <c r="AD66" s="9">
        <f t="shared" si="5"/>
        <v>24</v>
      </c>
      <c r="AE66" s="9">
        <f t="shared" si="5"/>
        <v>41</v>
      </c>
    </row>
    <row r="67" spans="1:31" x14ac:dyDescent="0.2">
      <c r="B67" t="s">
        <v>1</v>
      </c>
      <c r="C67" t="s">
        <v>11</v>
      </c>
      <c r="D67" t="s">
        <v>15</v>
      </c>
      <c r="E67" t="s">
        <v>17</v>
      </c>
      <c r="F67" t="s">
        <v>21</v>
      </c>
      <c r="G67" t="s">
        <v>42</v>
      </c>
      <c r="J67">
        <v>3</v>
      </c>
      <c r="K67" t="s">
        <v>56</v>
      </c>
      <c r="L67">
        <f t="shared" si="4"/>
        <v>51</v>
      </c>
      <c r="M67">
        <f t="shared" si="4"/>
        <v>50</v>
      </c>
      <c r="N67">
        <f t="shared" si="4"/>
        <v>28</v>
      </c>
      <c r="O67">
        <f t="shared" si="4"/>
        <v>55</v>
      </c>
      <c r="P67">
        <f t="shared" si="4"/>
        <v>25</v>
      </c>
      <c r="Q67">
        <f t="shared" si="4"/>
        <v>41</v>
      </c>
      <c r="Y67" s="10" t="s">
        <v>58</v>
      </c>
      <c r="Z67" s="11">
        <f>Z66/57</f>
        <v>0.8771929824561403</v>
      </c>
      <c r="AA67" s="11">
        <f t="shared" ref="AA67:AE67" si="6">AA66/57</f>
        <v>0.85964912280701755</v>
      </c>
      <c r="AB67" s="11">
        <f t="shared" si="6"/>
        <v>0.47368421052631576</v>
      </c>
      <c r="AC67" s="11">
        <f t="shared" si="6"/>
        <v>0.94736842105263153</v>
      </c>
      <c r="AD67" s="11">
        <f t="shared" si="6"/>
        <v>0.42105263157894735</v>
      </c>
      <c r="AE67" s="11">
        <f t="shared" si="6"/>
        <v>0.7192982456140351</v>
      </c>
    </row>
    <row r="68" spans="1:31" x14ac:dyDescent="0.2">
      <c r="A68" s="4" t="s">
        <v>32</v>
      </c>
      <c r="B68" s="5">
        <f>AVERAGE(B5:B15)</f>
        <v>4.0909090909090908</v>
      </c>
      <c r="C68" s="5">
        <f t="shared" ref="C68:G68" si="7">AVERAGE(C5:C15)</f>
        <v>4.4545454545454541</v>
      </c>
      <c r="D68" s="5">
        <f t="shared" si="7"/>
        <v>3.1818181818181817</v>
      </c>
      <c r="E68" s="5">
        <f t="shared" si="7"/>
        <v>4.7272727272727275</v>
      </c>
      <c r="F68" s="5">
        <f t="shared" si="7"/>
        <v>3.2727272727272729</v>
      </c>
      <c r="G68" s="5">
        <f t="shared" si="7"/>
        <v>4.1818181818181817</v>
      </c>
      <c r="L68" s="2" t="s">
        <v>1</v>
      </c>
      <c r="M68" s="2" t="s">
        <v>11</v>
      </c>
      <c r="N68" s="2" t="s">
        <v>15</v>
      </c>
      <c r="O68" s="2" t="s">
        <v>17</v>
      </c>
      <c r="P68" s="2" t="s">
        <v>21</v>
      </c>
      <c r="Q68" s="2" t="s">
        <v>42</v>
      </c>
    </row>
    <row r="69" spans="1:31" x14ac:dyDescent="0.2">
      <c r="K69" s="3" t="s">
        <v>54</v>
      </c>
      <c r="L69" s="6">
        <f>L65/57</f>
        <v>1.7543859649122806E-2</v>
      </c>
      <c r="M69" s="6">
        <f t="shared" ref="M69:Q69" si="8">M65/57</f>
        <v>0</v>
      </c>
      <c r="N69" s="6">
        <f t="shared" si="8"/>
        <v>5.2631578947368418E-2</v>
      </c>
      <c r="O69" s="6">
        <f t="shared" si="8"/>
        <v>0</v>
      </c>
      <c r="P69" s="6">
        <f t="shared" si="8"/>
        <v>0.12280701754385964</v>
      </c>
      <c r="Q69" s="6">
        <f t="shared" si="8"/>
        <v>3.5087719298245612E-2</v>
      </c>
    </row>
    <row r="70" spans="1:31" x14ac:dyDescent="0.2">
      <c r="B70" t="s">
        <v>1</v>
      </c>
      <c r="C70" t="s">
        <v>11</v>
      </c>
      <c r="D70" t="s">
        <v>15</v>
      </c>
      <c r="E70" t="s">
        <v>17</v>
      </c>
      <c r="F70" t="s">
        <v>21</v>
      </c>
      <c r="G70" t="s">
        <v>42</v>
      </c>
      <c r="K70" s="3" t="s">
        <v>55</v>
      </c>
      <c r="L70" s="6">
        <f t="shared" ref="L70:Q71" si="9">L66/57</f>
        <v>8.771929824561403E-2</v>
      </c>
      <c r="M70" s="6">
        <f t="shared" si="9"/>
        <v>0.12280701754385964</v>
      </c>
      <c r="N70" s="6">
        <f t="shared" si="9"/>
        <v>0.45614035087719296</v>
      </c>
      <c r="O70" s="6">
        <f t="shared" si="9"/>
        <v>3.5087719298245612E-2</v>
      </c>
      <c r="P70" s="6">
        <f t="shared" si="9"/>
        <v>0.43859649122807015</v>
      </c>
      <c r="Q70" s="6">
        <f t="shared" si="9"/>
        <v>0.24561403508771928</v>
      </c>
      <c r="Y70" s="2" t="s">
        <v>33</v>
      </c>
      <c r="Z70" s="2" t="s">
        <v>35</v>
      </c>
      <c r="AA70" s="2" t="s">
        <v>35</v>
      </c>
      <c r="AB70" s="2" t="s">
        <v>35</v>
      </c>
      <c r="AC70" s="2" t="s">
        <v>35</v>
      </c>
      <c r="AD70" s="2" t="s">
        <v>35</v>
      </c>
      <c r="AE70" s="2" t="s">
        <v>35</v>
      </c>
    </row>
    <row r="71" spans="1:31" x14ac:dyDescent="0.2">
      <c r="A71" s="4" t="s">
        <v>31</v>
      </c>
      <c r="B71" s="5">
        <f>AVERAGE(B23:B60)</f>
        <v>4.2631578947368425</v>
      </c>
      <c r="C71" s="5">
        <f t="shared" ref="C71:G71" si="10">AVERAGE(C23:C60)</f>
        <v>4.2368421052631575</v>
      </c>
      <c r="D71" s="5">
        <f t="shared" si="10"/>
        <v>3.6315789473684212</v>
      </c>
      <c r="E71" s="5">
        <f t="shared" si="10"/>
        <v>4.5526315789473681</v>
      </c>
      <c r="F71" s="5">
        <f t="shared" si="10"/>
        <v>3.4473684210526314</v>
      </c>
      <c r="G71" s="5">
        <f t="shared" si="10"/>
        <v>3.8947368421052633</v>
      </c>
      <c r="K71" s="3" t="s">
        <v>56</v>
      </c>
      <c r="L71" s="6">
        <f t="shared" si="9"/>
        <v>0.89473684210526316</v>
      </c>
      <c r="M71" s="6">
        <f t="shared" si="9"/>
        <v>0.8771929824561403</v>
      </c>
      <c r="N71" s="6">
        <f t="shared" si="9"/>
        <v>0.49122807017543857</v>
      </c>
      <c r="O71" s="6">
        <f t="shared" si="9"/>
        <v>0.96491228070175439</v>
      </c>
      <c r="P71" s="6">
        <f t="shared" si="9"/>
        <v>0.43859649122807015</v>
      </c>
      <c r="Q71" s="6">
        <f t="shared" si="9"/>
        <v>0.7192982456140351</v>
      </c>
      <c r="Z71" t="s">
        <v>1</v>
      </c>
      <c r="AA71" t="s">
        <v>11</v>
      </c>
      <c r="AB71" t="s">
        <v>15</v>
      </c>
      <c r="AC71" t="s">
        <v>17</v>
      </c>
      <c r="AD71" t="s">
        <v>21</v>
      </c>
      <c r="AE71" t="s">
        <v>42</v>
      </c>
    </row>
    <row r="72" spans="1:31" x14ac:dyDescent="0.2">
      <c r="X72">
        <v>4</v>
      </c>
      <c r="Y72" t="s">
        <v>44</v>
      </c>
      <c r="Z72">
        <f>COUNTIFS(Z$4:Z$60,$X72,$Y4:$Y60,$Y$70)</f>
        <v>4</v>
      </c>
      <c r="AA72">
        <f t="shared" ref="AA72:AE72" si="11">COUNTIFS(AA$4:AA$60,$X72,$Y4:$Y60,$Y$70)</f>
        <v>3</v>
      </c>
      <c r="AB72">
        <f t="shared" si="11"/>
        <v>3</v>
      </c>
      <c r="AC72">
        <f t="shared" si="11"/>
        <v>4</v>
      </c>
      <c r="AD72">
        <f t="shared" si="11"/>
        <v>3</v>
      </c>
      <c r="AE72">
        <f t="shared" si="11"/>
        <v>5</v>
      </c>
    </row>
    <row r="73" spans="1:31" x14ac:dyDescent="0.2">
      <c r="J73" s="2" t="s">
        <v>33</v>
      </c>
      <c r="X73">
        <v>5</v>
      </c>
      <c r="Y73" t="s">
        <v>45</v>
      </c>
      <c r="Z73">
        <f>COUNTIFS(Z$4:Z$60,$X73,$Y4:$Y60,$Y$70)</f>
        <v>4</v>
      </c>
      <c r="AA73">
        <f t="shared" ref="AA73:AE73" si="12">COUNTIFS(AA$4:AA$60,$X73,$Y4:$Y60,$Y$70)</f>
        <v>3</v>
      </c>
      <c r="AB73">
        <f t="shared" si="12"/>
        <v>2</v>
      </c>
      <c r="AC73">
        <f t="shared" si="12"/>
        <v>4</v>
      </c>
      <c r="AD73">
        <f t="shared" si="12"/>
        <v>1</v>
      </c>
      <c r="AE73">
        <f t="shared" si="12"/>
        <v>1</v>
      </c>
    </row>
    <row r="74" spans="1:31" x14ac:dyDescent="0.2">
      <c r="J74">
        <v>1</v>
      </c>
      <c r="K74" t="s">
        <v>54</v>
      </c>
      <c r="L74">
        <f>COUNTIFS(L$4:L$60,$J74,$K$4:$K$60,$J$73)</f>
        <v>0</v>
      </c>
      <c r="M74">
        <f t="shared" ref="M74:Q74" si="13">COUNTIFS(M$4:M$60,$J74,$K$4:$K$60,$J$73)</f>
        <v>0</v>
      </c>
      <c r="N74">
        <f t="shared" si="13"/>
        <v>0</v>
      </c>
      <c r="O74">
        <f t="shared" si="13"/>
        <v>0</v>
      </c>
      <c r="P74">
        <f t="shared" si="13"/>
        <v>2</v>
      </c>
      <c r="Q74">
        <f t="shared" si="13"/>
        <v>0</v>
      </c>
      <c r="Y74" s="9" t="s">
        <v>57</v>
      </c>
      <c r="Z74" s="9">
        <f>SUM(Z72:Z73)</f>
        <v>8</v>
      </c>
      <c r="AA74" s="9">
        <f t="shared" ref="AA74:AE74" si="14">SUM(AA72:AA73)</f>
        <v>6</v>
      </c>
      <c r="AB74" s="9">
        <f t="shared" si="14"/>
        <v>5</v>
      </c>
      <c r="AC74" s="9">
        <f t="shared" si="14"/>
        <v>8</v>
      </c>
      <c r="AD74" s="9">
        <f t="shared" si="14"/>
        <v>4</v>
      </c>
      <c r="AE74" s="9">
        <f t="shared" si="14"/>
        <v>6</v>
      </c>
    </row>
    <row r="75" spans="1:31" x14ac:dyDescent="0.2">
      <c r="A75" t="s">
        <v>52</v>
      </c>
      <c r="J75">
        <v>2</v>
      </c>
      <c r="K75" t="s">
        <v>55</v>
      </c>
      <c r="L75">
        <f t="shared" ref="L75:Q76" si="15">COUNTIFS(L$4:L$60,$J75,$K$4:$K$60,$J$73)</f>
        <v>0</v>
      </c>
      <c r="M75">
        <f t="shared" si="15"/>
        <v>2</v>
      </c>
      <c r="N75">
        <f t="shared" si="15"/>
        <v>3</v>
      </c>
      <c r="O75">
        <f t="shared" si="15"/>
        <v>0</v>
      </c>
      <c r="P75">
        <f t="shared" si="15"/>
        <v>2</v>
      </c>
      <c r="Q75">
        <f t="shared" si="15"/>
        <v>2</v>
      </c>
      <c r="Y75" s="10" t="s">
        <v>59</v>
      </c>
      <c r="Z75" s="11">
        <f>Z74/8</f>
        <v>1</v>
      </c>
      <c r="AA75" s="11">
        <f t="shared" ref="AA75:AE75" si="16">AA74/8</f>
        <v>0.75</v>
      </c>
      <c r="AB75" s="11">
        <f t="shared" si="16"/>
        <v>0.625</v>
      </c>
      <c r="AC75" s="11">
        <f t="shared" si="16"/>
        <v>1</v>
      </c>
      <c r="AD75" s="11">
        <f t="shared" si="16"/>
        <v>0.5</v>
      </c>
      <c r="AE75" s="11">
        <f t="shared" si="16"/>
        <v>0.75</v>
      </c>
    </row>
    <row r="76" spans="1:31" x14ac:dyDescent="0.2">
      <c r="J76">
        <v>3</v>
      </c>
      <c r="K76" t="s">
        <v>56</v>
      </c>
      <c r="L76">
        <f t="shared" si="15"/>
        <v>8</v>
      </c>
      <c r="M76">
        <f t="shared" si="15"/>
        <v>6</v>
      </c>
      <c r="N76">
        <f t="shared" si="15"/>
        <v>5</v>
      </c>
      <c r="O76">
        <f t="shared" si="15"/>
        <v>8</v>
      </c>
      <c r="P76">
        <f t="shared" si="15"/>
        <v>4</v>
      </c>
      <c r="Q76">
        <f t="shared" si="15"/>
        <v>6</v>
      </c>
    </row>
    <row r="77" spans="1:31" x14ac:dyDescent="0.2">
      <c r="L77" s="2" t="s">
        <v>1</v>
      </c>
      <c r="M77" s="2" t="s">
        <v>11</v>
      </c>
      <c r="N77" s="2" t="s">
        <v>15</v>
      </c>
      <c r="O77" s="2" t="s">
        <v>17</v>
      </c>
      <c r="P77" s="2" t="s">
        <v>21</v>
      </c>
      <c r="Q77" s="2" t="s">
        <v>42</v>
      </c>
      <c r="Y77" s="2" t="s">
        <v>32</v>
      </c>
      <c r="Z77" s="2" t="s">
        <v>35</v>
      </c>
      <c r="AA77" s="2" t="s">
        <v>35</v>
      </c>
      <c r="AB77" s="2" t="s">
        <v>35</v>
      </c>
      <c r="AC77" s="2" t="s">
        <v>35</v>
      </c>
      <c r="AD77" s="2" t="s">
        <v>35</v>
      </c>
      <c r="AE77" s="2" t="s">
        <v>35</v>
      </c>
    </row>
    <row r="78" spans="1:31" x14ac:dyDescent="0.2">
      <c r="K78" s="3" t="s">
        <v>54</v>
      </c>
      <c r="L78" s="6">
        <f>L74/8</f>
        <v>0</v>
      </c>
      <c r="M78" s="6">
        <f t="shared" ref="M78:Q78" si="17">M74/8</f>
        <v>0</v>
      </c>
      <c r="N78" s="6">
        <f t="shared" si="17"/>
        <v>0</v>
      </c>
      <c r="O78" s="6">
        <f t="shared" si="17"/>
        <v>0</v>
      </c>
      <c r="P78" s="6">
        <f t="shared" si="17"/>
        <v>0.25</v>
      </c>
      <c r="Q78" s="6">
        <f t="shared" si="17"/>
        <v>0</v>
      </c>
      <c r="Z78" t="s">
        <v>1</v>
      </c>
      <c r="AA78" t="s">
        <v>11</v>
      </c>
      <c r="AB78" t="s">
        <v>15</v>
      </c>
      <c r="AC78" t="s">
        <v>17</v>
      </c>
      <c r="AD78" t="s">
        <v>21</v>
      </c>
      <c r="AE78" t="s">
        <v>42</v>
      </c>
    </row>
    <row r="79" spans="1:31" x14ac:dyDescent="0.2">
      <c r="K79" s="3" t="s">
        <v>55</v>
      </c>
      <c r="L79" s="6">
        <f t="shared" ref="L79:Q80" si="18">L75/8</f>
        <v>0</v>
      </c>
      <c r="M79" s="6">
        <f t="shared" si="18"/>
        <v>0.25</v>
      </c>
      <c r="N79" s="6">
        <f t="shared" si="18"/>
        <v>0.375</v>
      </c>
      <c r="O79" s="6">
        <f t="shared" si="18"/>
        <v>0</v>
      </c>
      <c r="P79" s="6">
        <f t="shared" si="18"/>
        <v>0.25</v>
      </c>
      <c r="Q79" s="6">
        <f t="shared" si="18"/>
        <v>0.25</v>
      </c>
      <c r="X79">
        <v>4</v>
      </c>
      <c r="Y79" t="s">
        <v>44</v>
      </c>
      <c r="Z79">
        <f>COUNTIFS(Z$4:Z$60,$X79,$Y4:$Y60,$Y$77)</f>
        <v>8</v>
      </c>
      <c r="AA79">
        <f t="shared" ref="AA79:AE79" si="19">COUNTIFS(AA$4:AA$60,$X79,$Y4:$Y60,$Y$77)</f>
        <v>6</v>
      </c>
      <c r="AB79">
        <f t="shared" si="19"/>
        <v>2</v>
      </c>
      <c r="AC79">
        <f t="shared" si="19"/>
        <v>3</v>
      </c>
      <c r="AD79">
        <f t="shared" si="19"/>
        <v>4</v>
      </c>
      <c r="AE79">
        <f t="shared" si="19"/>
        <v>5</v>
      </c>
    </row>
    <row r="80" spans="1:31" x14ac:dyDescent="0.2">
      <c r="K80" s="3" t="s">
        <v>56</v>
      </c>
      <c r="L80" s="6">
        <f t="shared" si="18"/>
        <v>1</v>
      </c>
      <c r="M80" s="6">
        <f t="shared" si="18"/>
        <v>0.75</v>
      </c>
      <c r="N80" s="6">
        <f t="shared" si="18"/>
        <v>0.625</v>
      </c>
      <c r="O80" s="6">
        <f t="shared" si="18"/>
        <v>1</v>
      </c>
      <c r="P80" s="6">
        <f t="shared" si="18"/>
        <v>0.5</v>
      </c>
      <c r="Q80" s="6">
        <f t="shared" si="18"/>
        <v>0.75</v>
      </c>
      <c r="X80">
        <v>5</v>
      </c>
      <c r="Y80" t="s">
        <v>45</v>
      </c>
      <c r="Z80">
        <f>COUNTIFS(Z$4:Z$60,$X80,$Y4:$Y60,$Y$77)</f>
        <v>2</v>
      </c>
      <c r="AA80">
        <f t="shared" ref="AA80:AE80" si="20">COUNTIFS(AA$4:AA$60,$X80,$Y4:$Y60,$Y$77)</f>
        <v>5</v>
      </c>
      <c r="AB80">
        <f t="shared" si="20"/>
        <v>0</v>
      </c>
      <c r="AC80">
        <f t="shared" si="20"/>
        <v>8</v>
      </c>
      <c r="AD80">
        <f t="shared" si="20"/>
        <v>0</v>
      </c>
      <c r="AE80">
        <f t="shared" si="20"/>
        <v>4</v>
      </c>
    </row>
    <row r="81" spans="1:31" x14ac:dyDescent="0.2">
      <c r="Y81" s="9" t="s">
        <v>57</v>
      </c>
      <c r="Z81" s="9">
        <f>SUM(Z79:Z80)</f>
        <v>10</v>
      </c>
      <c r="AA81" s="9">
        <f t="shared" ref="AA81" si="21">SUM(AA79:AA80)</f>
        <v>11</v>
      </c>
      <c r="AB81" s="9">
        <f t="shared" ref="AB81" si="22">SUM(AB79:AB80)</f>
        <v>2</v>
      </c>
      <c r="AC81" s="9">
        <f t="shared" ref="AC81" si="23">SUM(AC79:AC80)</f>
        <v>11</v>
      </c>
      <c r="AD81" s="9">
        <f t="shared" ref="AD81" si="24">SUM(AD79:AD80)</f>
        <v>4</v>
      </c>
      <c r="AE81" s="9">
        <f t="shared" ref="AE81" si="25">SUM(AE79:AE80)</f>
        <v>9</v>
      </c>
    </row>
    <row r="82" spans="1:31" x14ac:dyDescent="0.2">
      <c r="J82" s="2" t="s">
        <v>32</v>
      </c>
      <c r="Y82" s="10" t="s">
        <v>60</v>
      </c>
      <c r="Z82" s="11">
        <f>Z81/11</f>
        <v>0.90909090909090906</v>
      </c>
      <c r="AA82" s="11">
        <f t="shared" ref="AA82:AE82" si="26">AA81/11</f>
        <v>1</v>
      </c>
      <c r="AB82" s="11">
        <f t="shared" si="26"/>
        <v>0.18181818181818182</v>
      </c>
      <c r="AC82" s="11">
        <f t="shared" si="26"/>
        <v>1</v>
      </c>
      <c r="AD82" s="11">
        <f t="shared" si="26"/>
        <v>0.36363636363636365</v>
      </c>
      <c r="AE82" s="11">
        <f t="shared" si="26"/>
        <v>0.81818181818181823</v>
      </c>
    </row>
    <row r="83" spans="1:31" x14ac:dyDescent="0.2">
      <c r="J83">
        <v>1</v>
      </c>
      <c r="K83" t="s">
        <v>54</v>
      </c>
      <c r="L83">
        <f>COUNTIFS(L$4:L$60,$J83,$K$4:$K$60,$J$82)</f>
        <v>0</v>
      </c>
      <c r="M83">
        <f t="shared" ref="M83:Q83" si="27">COUNTIFS(M$4:M$60,$J83,$K$4:$K$60,$J$82)</f>
        <v>0</v>
      </c>
      <c r="N83">
        <f t="shared" si="27"/>
        <v>0</v>
      </c>
      <c r="O83">
        <f t="shared" si="27"/>
        <v>0</v>
      </c>
      <c r="P83">
        <f t="shared" si="27"/>
        <v>1</v>
      </c>
      <c r="Q83">
        <f t="shared" si="27"/>
        <v>0</v>
      </c>
    </row>
    <row r="84" spans="1:31" x14ac:dyDescent="0.2">
      <c r="J84">
        <v>2</v>
      </c>
      <c r="K84" t="s">
        <v>55</v>
      </c>
      <c r="L84">
        <f t="shared" ref="L84:Q85" si="28">COUNTIFS(L$4:L$60,$J84,$K$4:$K$60,$J$82)</f>
        <v>1</v>
      </c>
      <c r="M84">
        <f t="shared" si="28"/>
        <v>0</v>
      </c>
      <c r="N84">
        <f t="shared" si="28"/>
        <v>9</v>
      </c>
      <c r="O84">
        <f t="shared" si="28"/>
        <v>0</v>
      </c>
      <c r="P84">
        <f t="shared" si="28"/>
        <v>6</v>
      </c>
      <c r="Q84">
        <f t="shared" si="28"/>
        <v>2</v>
      </c>
      <c r="Y84" s="2" t="s">
        <v>31</v>
      </c>
      <c r="Z84" s="2" t="s">
        <v>35</v>
      </c>
      <c r="AA84" s="2" t="s">
        <v>35</v>
      </c>
      <c r="AB84" s="2" t="s">
        <v>35</v>
      </c>
      <c r="AC84" s="2" t="s">
        <v>35</v>
      </c>
      <c r="AD84" s="2" t="s">
        <v>35</v>
      </c>
      <c r="AE84" s="2" t="s">
        <v>35</v>
      </c>
    </row>
    <row r="85" spans="1:31" x14ac:dyDescent="0.2">
      <c r="J85">
        <v>3</v>
      </c>
      <c r="K85" t="s">
        <v>56</v>
      </c>
      <c r="L85">
        <f t="shared" si="28"/>
        <v>10</v>
      </c>
      <c r="M85">
        <f t="shared" si="28"/>
        <v>11</v>
      </c>
      <c r="N85">
        <f t="shared" si="28"/>
        <v>2</v>
      </c>
      <c r="O85">
        <f t="shared" si="28"/>
        <v>11</v>
      </c>
      <c r="P85">
        <f t="shared" si="28"/>
        <v>4</v>
      </c>
      <c r="Q85">
        <f t="shared" si="28"/>
        <v>9</v>
      </c>
      <c r="Z85" t="s">
        <v>1</v>
      </c>
      <c r="AA85" t="s">
        <v>11</v>
      </c>
      <c r="AB85" t="s">
        <v>15</v>
      </c>
      <c r="AC85" t="s">
        <v>17</v>
      </c>
      <c r="AD85" t="s">
        <v>21</v>
      </c>
      <c r="AE85" t="s">
        <v>42</v>
      </c>
    </row>
    <row r="86" spans="1:31" x14ac:dyDescent="0.2">
      <c r="L86" s="2" t="s">
        <v>1</v>
      </c>
      <c r="M86" s="2" t="s">
        <v>11</v>
      </c>
      <c r="N86" s="2" t="s">
        <v>15</v>
      </c>
      <c r="O86" s="2" t="s">
        <v>17</v>
      </c>
      <c r="P86" s="2" t="s">
        <v>21</v>
      </c>
      <c r="Q86" s="2" t="s">
        <v>42</v>
      </c>
      <c r="X86">
        <v>4</v>
      </c>
      <c r="Y86" t="s">
        <v>44</v>
      </c>
      <c r="Z86">
        <f>COUNTIFS(Z$4:Z$60,$X86,$Y4:$Y60,$Y$84)</f>
        <v>17</v>
      </c>
      <c r="AA86">
        <f t="shared" ref="AA86:AE86" si="29">COUNTIFS(AA$4:AA$60,$X86,$Y4:$Y60,$Y$84)</f>
        <v>19</v>
      </c>
      <c r="AB86">
        <f t="shared" si="29"/>
        <v>15</v>
      </c>
      <c r="AC86">
        <f t="shared" si="29"/>
        <v>13</v>
      </c>
      <c r="AD86">
        <f t="shared" si="29"/>
        <v>11</v>
      </c>
      <c r="AE86">
        <f t="shared" si="29"/>
        <v>15</v>
      </c>
    </row>
    <row r="87" spans="1:31" x14ac:dyDescent="0.2">
      <c r="K87" s="3" t="s">
        <v>54</v>
      </c>
      <c r="L87" s="6">
        <f>L83/11</f>
        <v>0</v>
      </c>
      <c r="M87" s="6">
        <f t="shared" ref="M87:Q87" si="30">M83/11</f>
        <v>0</v>
      </c>
      <c r="N87" s="6">
        <f t="shared" si="30"/>
        <v>0</v>
      </c>
      <c r="O87" s="6">
        <f t="shared" si="30"/>
        <v>0</v>
      </c>
      <c r="P87" s="6">
        <f t="shared" si="30"/>
        <v>9.0909090909090912E-2</v>
      </c>
      <c r="Q87" s="6">
        <f t="shared" si="30"/>
        <v>0</v>
      </c>
      <c r="X87">
        <v>5</v>
      </c>
      <c r="Y87" t="s">
        <v>45</v>
      </c>
      <c r="Z87">
        <f>COUNTIFS(Z$4:Z$60,$X87,$Y4:$Y60,$Y$84)</f>
        <v>16</v>
      </c>
      <c r="AA87">
        <f t="shared" ref="AA87:AE87" si="31">COUNTIFS(AA$4:AA$60,$X87,$Y4:$Y60,$Y$84)</f>
        <v>14</v>
      </c>
      <c r="AB87">
        <f t="shared" si="31"/>
        <v>6</v>
      </c>
      <c r="AC87">
        <f t="shared" si="31"/>
        <v>23</v>
      </c>
      <c r="AD87">
        <f t="shared" si="31"/>
        <v>6</v>
      </c>
      <c r="AE87">
        <f t="shared" si="31"/>
        <v>11</v>
      </c>
    </row>
    <row r="88" spans="1:31" x14ac:dyDescent="0.2">
      <c r="K88" s="3" t="s">
        <v>55</v>
      </c>
      <c r="L88" s="6">
        <f t="shared" ref="L88:Q88" si="32">L84/11</f>
        <v>9.0909090909090912E-2</v>
      </c>
      <c r="M88" s="6">
        <f t="shared" si="32"/>
        <v>0</v>
      </c>
      <c r="N88" s="6">
        <f t="shared" si="32"/>
        <v>0.81818181818181823</v>
      </c>
      <c r="O88" s="6">
        <f t="shared" si="32"/>
        <v>0</v>
      </c>
      <c r="P88" s="6">
        <f t="shared" si="32"/>
        <v>0.54545454545454541</v>
      </c>
      <c r="Q88" s="6">
        <f t="shared" si="32"/>
        <v>0.18181818181818182</v>
      </c>
      <c r="Y88" s="9" t="s">
        <v>57</v>
      </c>
      <c r="Z88" s="9">
        <f>SUM(Z86:Z87)</f>
        <v>33</v>
      </c>
      <c r="AA88" s="9">
        <f t="shared" ref="AA88" si="33">SUM(AA86:AA87)</f>
        <v>33</v>
      </c>
      <c r="AB88" s="9">
        <f t="shared" ref="AB88" si="34">SUM(AB86:AB87)</f>
        <v>21</v>
      </c>
      <c r="AC88" s="9">
        <f t="shared" ref="AC88" si="35">SUM(AC86:AC87)</f>
        <v>36</v>
      </c>
      <c r="AD88" s="9">
        <f t="shared" ref="AD88" si="36">SUM(AD86:AD87)</f>
        <v>17</v>
      </c>
      <c r="AE88" s="9">
        <f t="shared" ref="AE88" si="37">SUM(AE86:AE87)</f>
        <v>26</v>
      </c>
    </row>
    <row r="89" spans="1:31" x14ac:dyDescent="0.2">
      <c r="A89" t="s">
        <v>32</v>
      </c>
      <c r="K89" s="3" t="s">
        <v>56</v>
      </c>
      <c r="L89" s="6">
        <f t="shared" ref="L89:Q89" si="38">L85/11</f>
        <v>0.90909090909090906</v>
      </c>
      <c r="M89" s="6">
        <f t="shared" si="38"/>
        <v>1</v>
      </c>
      <c r="N89" s="6">
        <f t="shared" si="38"/>
        <v>0.18181818181818182</v>
      </c>
      <c r="O89" s="6">
        <f t="shared" si="38"/>
        <v>1</v>
      </c>
      <c r="P89" s="6">
        <f t="shared" si="38"/>
        <v>0.36363636363636365</v>
      </c>
      <c r="Q89" s="6">
        <f t="shared" si="38"/>
        <v>0.81818181818181823</v>
      </c>
      <c r="Y89" s="10" t="s">
        <v>61</v>
      </c>
      <c r="Z89" s="11">
        <f>Z88/38</f>
        <v>0.86842105263157898</v>
      </c>
      <c r="AA89" s="11">
        <f t="shared" ref="AA89:AE89" si="39">AA88/38</f>
        <v>0.86842105263157898</v>
      </c>
      <c r="AB89" s="11">
        <f t="shared" si="39"/>
        <v>0.55263157894736847</v>
      </c>
      <c r="AC89" s="11">
        <f t="shared" si="39"/>
        <v>0.94736842105263153</v>
      </c>
      <c r="AD89" s="11">
        <f t="shared" si="39"/>
        <v>0.44736842105263158</v>
      </c>
      <c r="AE89" s="11">
        <f t="shared" si="39"/>
        <v>0.68421052631578949</v>
      </c>
    </row>
    <row r="91" spans="1:31" x14ac:dyDescent="0.2">
      <c r="J91" s="2" t="s">
        <v>31</v>
      </c>
    </row>
    <row r="92" spans="1:31" x14ac:dyDescent="0.2">
      <c r="J92">
        <v>1</v>
      </c>
      <c r="K92" t="s">
        <v>54</v>
      </c>
      <c r="L92">
        <f>COUNTIFS(L$4:L$60,$J92,$K$4:$K$60,$J$91)</f>
        <v>1</v>
      </c>
      <c r="M92">
        <f t="shared" ref="M92:Q92" si="40">COUNTIFS(M$4:M$60,$J92,$K$4:$K$60,$J$91)</f>
        <v>0</v>
      </c>
      <c r="N92">
        <f t="shared" si="40"/>
        <v>3</v>
      </c>
      <c r="O92">
        <f t="shared" si="40"/>
        <v>0</v>
      </c>
      <c r="P92">
        <f t="shared" si="40"/>
        <v>4</v>
      </c>
      <c r="Q92">
        <f t="shared" si="40"/>
        <v>2</v>
      </c>
    </row>
    <row r="93" spans="1:31" x14ac:dyDescent="0.2">
      <c r="J93">
        <v>2</v>
      </c>
      <c r="K93" t="s">
        <v>55</v>
      </c>
      <c r="L93">
        <f t="shared" ref="L93:Q94" si="41">COUNTIFS(L$4:L$60,$J93,$K$4:$K$60,$J$91)</f>
        <v>4</v>
      </c>
      <c r="M93">
        <f t="shared" si="41"/>
        <v>5</v>
      </c>
      <c r="N93">
        <f t="shared" si="41"/>
        <v>14</v>
      </c>
      <c r="O93">
        <f t="shared" si="41"/>
        <v>2</v>
      </c>
      <c r="P93">
        <f t="shared" si="41"/>
        <v>17</v>
      </c>
      <c r="Q93">
        <f t="shared" si="41"/>
        <v>10</v>
      </c>
    </row>
    <row r="94" spans="1:31" x14ac:dyDescent="0.2">
      <c r="J94">
        <v>3</v>
      </c>
      <c r="K94" t="s">
        <v>56</v>
      </c>
      <c r="L94">
        <f t="shared" si="41"/>
        <v>33</v>
      </c>
      <c r="M94">
        <f t="shared" si="41"/>
        <v>33</v>
      </c>
      <c r="N94">
        <f t="shared" si="41"/>
        <v>21</v>
      </c>
      <c r="O94">
        <f t="shared" si="41"/>
        <v>36</v>
      </c>
      <c r="P94">
        <f t="shared" si="41"/>
        <v>17</v>
      </c>
      <c r="Q94">
        <f t="shared" si="41"/>
        <v>26</v>
      </c>
    </row>
    <row r="95" spans="1:31" x14ac:dyDescent="0.2">
      <c r="L95" s="2" t="s">
        <v>1</v>
      </c>
      <c r="M95" s="2" t="s">
        <v>11</v>
      </c>
      <c r="N95" s="2" t="s">
        <v>15</v>
      </c>
      <c r="O95" s="2" t="s">
        <v>17</v>
      </c>
      <c r="P95" s="2" t="s">
        <v>21</v>
      </c>
      <c r="Q95" s="2" t="s">
        <v>42</v>
      </c>
    </row>
    <row r="96" spans="1:31" x14ac:dyDescent="0.2">
      <c r="K96" s="3" t="s">
        <v>54</v>
      </c>
      <c r="L96" s="6">
        <f>L92/38</f>
        <v>2.6315789473684209E-2</v>
      </c>
      <c r="M96" s="6">
        <f t="shared" ref="M96:Q96" si="42">M92/38</f>
        <v>0</v>
      </c>
      <c r="N96" s="6">
        <f t="shared" si="42"/>
        <v>7.8947368421052627E-2</v>
      </c>
      <c r="O96" s="6">
        <f t="shared" si="42"/>
        <v>0</v>
      </c>
      <c r="P96" s="6">
        <f t="shared" si="42"/>
        <v>0.10526315789473684</v>
      </c>
      <c r="Q96" s="6">
        <f t="shared" si="42"/>
        <v>5.2631578947368418E-2</v>
      </c>
    </row>
    <row r="97" spans="1:17" x14ac:dyDescent="0.2">
      <c r="K97" s="3" t="s">
        <v>55</v>
      </c>
      <c r="L97" s="6">
        <f t="shared" ref="L97:Q98" si="43">L93/38</f>
        <v>0.10526315789473684</v>
      </c>
      <c r="M97" s="6">
        <f t="shared" si="43"/>
        <v>0.13157894736842105</v>
      </c>
      <c r="N97" s="6">
        <f t="shared" si="43"/>
        <v>0.36842105263157893</v>
      </c>
      <c r="O97" s="6">
        <f t="shared" si="43"/>
        <v>5.2631578947368418E-2</v>
      </c>
      <c r="P97" s="6">
        <f t="shared" si="43"/>
        <v>0.44736842105263158</v>
      </c>
      <c r="Q97" s="6">
        <f t="shared" si="43"/>
        <v>0.26315789473684209</v>
      </c>
    </row>
    <row r="98" spans="1:17" x14ac:dyDescent="0.2">
      <c r="K98" s="3" t="s">
        <v>56</v>
      </c>
      <c r="L98" s="6">
        <f t="shared" si="43"/>
        <v>0.86842105263157898</v>
      </c>
      <c r="M98" s="6">
        <f t="shared" si="43"/>
        <v>0.86842105263157898</v>
      </c>
      <c r="N98" s="6">
        <f t="shared" si="43"/>
        <v>0.55263157894736847</v>
      </c>
      <c r="O98" s="6">
        <f t="shared" si="43"/>
        <v>0.94736842105263153</v>
      </c>
      <c r="P98" s="6">
        <f t="shared" si="43"/>
        <v>0.44736842105263158</v>
      </c>
      <c r="Q98" s="6">
        <f t="shared" si="43"/>
        <v>0.68421052631578949</v>
      </c>
    </row>
    <row r="103" spans="1:17" x14ac:dyDescent="0.2">
      <c r="A103" t="s">
        <v>31</v>
      </c>
      <c r="J103" s="16" t="s">
        <v>62</v>
      </c>
      <c r="K103" s="2" t="s">
        <v>1</v>
      </c>
      <c r="L103" s="18" t="s">
        <v>54</v>
      </c>
      <c r="M103" s="18" t="s">
        <v>55</v>
      </c>
      <c r="N103" s="18" t="s">
        <v>56</v>
      </c>
      <c r="P103" s="18" t="s">
        <v>63</v>
      </c>
    </row>
    <row r="104" spans="1:17" x14ac:dyDescent="0.2">
      <c r="J104" s="17" t="s">
        <v>52</v>
      </c>
      <c r="K104" s="17"/>
      <c r="L104" s="23">
        <v>0</v>
      </c>
      <c r="M104" s="23">
        <v>0</v>
      </c>
      <c r="N104" s="23">
        <v>1</v>
      </c>
      <c r="P104" s="25">
        <f t="shared" ref="P104:P105" si="44">SUM(L104:N104)</f>
        <v>1</v>
      </c>
    </row>
    <row r="105" spans="1:17" x14ac:dyDescent="0.2">
      <c r="J105" s="17" t="s">
        <v>32</v>
      </c>
      <c r="K105" s="17"/>
      <c r="L105" s="15">
        <v>0</v>
      </c>
      <c r="M105" s="15">
        <v>9.0909090909090912E-2</v>
      </c>
      <c r="N105" s="15">
        <v>0.90909090909090906</v>
      </c>
      <c r="P105" s="25">
        <f t="shared" si="44"/>
        <v>1</v>
      </c>
    </row>
    <row r="106" spans="1:17" x14ac:dyDescent="0.2">
      <c r="J106" s="17" t="s">
        <v>31</v>
      </c>
      <c r="K106" s="17"/>
      <c r="L106" s="15">
        <v>2.6315789473684209E-2</v>
      </c>
      <c r="M106" s="15">
        <v>0.10526315789473684</v>
      </c>
      <c r="N106" s="15">
        <v>0.86842105263157898</v>
      </c>
      <c r="P106" s="25">
        <f>SUM(L106:N106)</f>
        <v>1</v>
      </c>
    </row>
    <row r="107" spans="1:17" x14ac:dyDescent="0.2">
      <c r="J107" s="19" t="s">
        <v>62</v>
      </c>
      <c r="K107" s="2" t="s">
        <v>11</v>
      </c>
      <c r="L107" s="21" t="s">
        <v>54</v>
      </c>
      <c r="M107" s="21" t="s">
        <v>55</v>
      </c>
      <c r="N107" s="21" t="s">
        <v>56</v>
      </c>
      <c r="P107" s="25"/>
    </row>
    <row r="108" spans="1:17" x14ac:dyDescent="0.2">
      <c r="J108" s="20" t="s">
        <v>52</v>
      </c>
      <c r="K108" s="10"/>
      <c r="L108" s="23">
        <v>0</v>
      </c>
      <c r="M108" s="23">
        <v>0.25</v>
      </c>
      <c r="N108" s="23">
        <v>0.75</v>
      </c>
      <c r="P108" s="25">
        <f t="shared" ref="P108:P126" si="45">SUM(L108:N108)</f>
        <v>1</v>
      </c>
    </row>
    <row r="109" spans="1:17" x14ac:dyDescent="0.2">
      <c r="J109" s="20" t="s">
        <v>32</v>
      </c>
      <c r="K109" s="20"/>
      <c r="L109" s="15">
        <v>0</v>
      </c>
      <c r="M109" s="15">
        <v>0</v>
      </c>
      <c r="N109" s="15">
        <v>1</v>
      </c>
      <c r="P109" s="25">
        <f t="shared" si="45"/>
        <v>1</v>
      </c>
    </row>
    <row r="110" spans="1:17" x14ac:dyDescent="0.2">
      <c r="J110" s="20" t="s">
        <v>31</v>
      </c>
      <c r="K110" s="20"/>
      <c r="L110" s="15">
        <v>0</v>
      </c>
      <c r="M110" s="15">
        <v>0.13157894736842105</v>
      </c>
      <c r="N110" s="15">
        <v>0.86842105263157898</v>
      </c>
      <c r="P110" s="25">
        <f t="shared" si="45"/>
        <v>1</v>
      </c>
    </row>
    <row r="111" spans="1:17" x14ac:dyDescent="0.2">
      <c r="J111" s="16" t="s">
        <v>62</v>
      </c>
      <c r="K111" s="2" t="s">
        <v>15</v>
      </c>
      <c r="L111" s="18" t="s">
        <v>54</v>
      </c>
      <c r="M111" s="18" t="s">
        <v>55</v>
      </c>
      <c r="N111" s="18" t="s">
        <v>56</v>
      </c>
      <c r="P111" s="25"/>
    </row>
    <row r="112" spans="1:17" x14ac:dyDescent="0.2">
      <c r="J112" s="17" t="s">
        <v>52</v>
      </c>
      <c r="K112" s="17"/>
      <c r="L112" s="23">
        <v>0</v>
      </c>
      <c r="M112" s="23">
        <v>0.375</v>
      </c>
      <c r="N112" s="23">
        <v>0.625</v>
      </c>
      <c r="P112" s="25">
        <f t="shared" si="45"/>
        <v>1</v>
      </c>
    </row>
    <row r="113" spans="1:16" x14ac:dyDescent="0.2">
      <c r="J113" s="17" t="s">
        <v>32</v>
      </c>
      <c r="K113" s="17"/>
      <c r="L113" s="15">
        <v>0</v>
      </c>
      <c r="M113" s="15">
        <v>0.81818181818181823</v>
      </c>
      <c r="N113" s="15">
        <v>0.18181818181818182</v>
      </c>
      <c r="P113" s="25">
        <f t="shared" si="45"/>
        <v>1</v>
      </c>
    </row>
    <row r="114" spans="1:16" x14ac:dyDescent="0.2">
      <c r="J114" s="17" t="s">
        <v>31</v>
      </c>
      <c r="K114" s="17"/>
      <c r="L114" s="15">
        <v>7.8947368421052627E-2</v>
      </c>
      <c r="M114" s="15">
        <v>0.36842105263157893</v>
      </c>
      <c r="N114" s="15">
        <v>0.55263157894736847</v>
      </c>
      <c r="P114" s="25">
        <f t="shared" si="45"/>
        <v>1</v>
      </c>
    </row>
    <row r="115" spans="1:16" x14ac:dyDescent="0.2">
      <c r="J115" s="19" t="s">
        <v>62</v>
      </c>
      <c r="K115" s="2" t="s">
        <v>17</v>
      </c>
      <c r="L115" s="21" t="s">
        <v>54</v>
      </c>
      <c r="M115" s="21" t="s">
        <v>55</v>
      </c>
      <c r="N115" s="21" t="s">
        <v>56</v>
      </c>
      <c r="P115" s="25"/>
    </row>
    <row r="116" spans="1:16" x14ac:dyDescent="0.2">
      <c r="J116" s="20" t="s">
        <v>52</v>
      </c>
      <c r="K116" s="10"/>
      <c r="L116" s="23">
        <v>0</v>
      </c>
      <c r="M116" s="23">
        <v>0</v>
      </c>
      <c r="N116" s="23">
        <v>1</v>
      </c>
      <c r="P116" s="25">
        <f t="shared" si="45"/>
        <v>1</v>
      </c>
    </row>
    <row r="117" spans="1:16" x14ac:dyDescent="0.2">
      <c r="A117" t="s">
        <v>46</v>
      </c>
      <c r="J117" s="20" t="s">
        <v>32</v>
      </c>
      <c r="K117" s="20"/>
      <c r="L117" s="15">
        <v>0</v>
      </c>
      <c r="M117" s="15">
        <v>0</v>
      </c>
      <c r="N117" s="15">
        <v>1</v>
      </c>
      <c r="P117" s="25">
        <f t="shared" si="45"/>
        <v>1</v>
      </c>
    </row>
    <row r="118" spans="1:16" x14ac:dyDescent="0.2">
      <c r="J118" s="20" t="s">
        <v>31</v>
      </c>
      <c r="K118" s="20"/>
      <c r="L118" s="15">
        <v>0</v>
      </c>
      <c r="M118" s="15">
        <v>5.2631578947368418E-2</v>
      </c>
      <c r="N118" s="15">
        <v>0.94736842105263153</v>
      </c>
      <c r="P118" s="25">
        <f t="shared" si="45"/>
        <v>1</v>
      </c>
    </row>
    <row r="119" spans="1:16" x14ac:dyDescent="0.2">
      <c r="J119" s="16" t="s">
        <v>62</v>
      </c>
      <c r="K119" s="2" t="s">
        <v>21</v>
      </c>
      <c r="L119" s="18" t="s">
        <v>54</v>
      </c>
      <c r="M119" s="18" t="s">
        <v>55</v>
      </c>
      <c r="N119" s="18" t="s">
        <v>56</v>
      </c>
      <c r="P119" s="25"/>
    </row>
    <row r="120" spans="1:16" x14ac:dyDescent="0.2">
      <c r="J120" s="17" t="s">
        <v>52</v>
      </c>
      <c r="K120" s="17"/>
      <c r="L120" s="23">
        <v>0.25</v>
      </c>
      <c r="M120" s="23">
        <v>0.25</v>
      </c>
      <c r="N120" s="23">
        <v>0.5</v>
      </c>
      <c r="P120" s="25">
        <f t="shared" si="45"/>
        <v>1</v>
      </c>
    </row>
    <row r="121" spans="1:16" x14ac:dyDescent="0.2">
      <c r="J121" s="17" t="s">
        <v>32</v>
      </c>
      <c r="K121" s="17"/>
      <c r="L121" s="15">
        <v>9.0909090909090912E-2</v>
      </c>
      <c r="M121" s="15">
        <v>0.54545454545454541</v>
      </c>
      <c r="N121" s="15">
        <v>0.36363636363636365</v>
      </c>
      <c r="P121" s="25">
        <f t="shared" si="45"/>
        <v>1</v>
      </c>
    </row>
    <row r="122" spans="1:16" x14ac:dyDescent="0.2">
      <c r="J122" s="17" t="s">
        <v>31</v>
      </c>
      <c r="K122" s="17"/>
      <c r="L122" s="15">
        <v>0.10526315789473684</v>
      </c>
      <c r="M122" s="15">
        <v>0.44736842105263158</v>
      </c>
      <c r="N122" s="15">
        <v>0.44736842105263158</v>
      </c>
      <c r="P122" s="25">
        <f t="shared" si="45"/>
        <v>1</v>
      </c>
    </row>
    <row r="123" spans="1:16" x14ac:dyDescent="0.2">
      <c r="J123" s="19" t="s">
        <v>62</v>
      </c>
      <c r="K123" s="2" t="s">
        <v>42</v>
      </c>
      <c r="L123" s="21" t="s">
        <v>54</v>
      </c>
      <c r="M123" s="21" t="s">
        <v>55</v>
      </c>
      <c r="N123" s="21" t="s">
        <v>56</v>
      </c>
      <c r="P123" s="25"/>
    </row>
    <row r="124" spans="1:16" x14ac:dyDescent="0.2">
      <c r="J124" s="20" t="s">
        <v>52</v>
      </c>
      <c r="K124" s="10"/>
      <c r="L124" s="23">
        <v>0</v>
      </c>
      <c r="M124" s="23">
        <v>0.25</v>
      </c>
      <c r="N124" s="23">
        <v>0.75</v>
      </c>
      <c r="P124" s="25">
        <f t="shared" si="45"/>
        <v>1</v>
      </c>
    </row>
    <row r="125" spans="1:16" x14ac:dyDescent="0.2">
      <c r="J125" s="20" t="s">
        <v>32</v>
      </c>
      <c r="K125" s="20"/>
      <c r="L125" s="15">
        <v>0</v>
      </c>
      <c r="M125" s="15">
        <v>0.18181818181818182</v>
      </c>
      <c r="N125" s="15">
        <v>0.81818181818181823</v>
      </c>
      <c r="P125" s="25">
        <f t="shared" si="45"/>
        <v>1</v>
      </c>
    </row>
    <row r="126" spans="1:16" x14ac:dyDescent="0.2">
      <c r="J126" s="20" t="s">
        <v>31</v>
      </c>
      <c r="K126" s="20"/>
      <c r="L126" s="15">
        <v>5.2631578947368418E-2</v>
      </c>
      <c r="M126" s="15">
        <v>0.26315789473684209</v>
      </c>
      <c r="N126" s="15">
        <v>0.68421052631578949</v>
      </c>
      <c r="P126" s="25">
        <f t="shared" si="45"/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56"/>
  <sheetViews>
    <sheetView topLeftCell="H66" zoomScale="79" zoomScaleNormal="79" workbookViewId="0">
      <selection activeCell="Y62" sqref="Y62:AF88"/>
    </sheetView>
  </sheetViews>
  <sheetFormatPr baseColWidth="10" defaultRowHeight="16" x14ac:dyDescent="0.2"/>
  <sheetData>
    <row r="1" spans="1:32" x14ac:dyDescent="0.2">
      <c r="A1" s="3" t="s">
        <v>47</v>
      </c>
      <c r="K1" s="3" t="s">
        <v>48</v>
      </c>
      <c r="Z1" s="3" t="s">
        <v>49</v>
      </c>
    </row>
    <row r="2" spans="1:32" x14ac:dyDescent="0.2">
      <c r="A2" s="2" t="s">
        <v>34</v>
      </c>
      <c r="B2" s="2" t="s">
        <v>39</v>
      </c>
      <c r="C2" s="2" t="s">
        <v>39</v>
      </c>
      <c r="D2" s="2" t="s">
        <v>39</v>
      </c>
      <c r="E2" s="2" t="s">
        <v>39</v>
      </c>
      <c r="F2" s="2" t="s">
        <v>39</v>
      </c>
      <c r="G2" s="2" t="s">
        <v>39</v>
      </c>
      <c r="K2" s="2" t="s">
        <v>34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Z2" s="2" t="s">
        <v>34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</row>
    <row r="3" spans="1:32" x14ac:dyDescent="0.2">
      <c r="A3" t="s">
        <v>0</v>
      </c>
      <c r="B3" t="s">
        <v>7</v>
      </c>
      <c r="C3" t="s">
        <v>8</v>
      </c>
      <c r="D3" t="s">
        <v>14</v>
      </c>
      <c r="E3" t="s">
        <v>16</v>
      </c>
      <c r="F3" t="s">
        <v>19</v>
      </c>
      <c r="G3" t="s">
        <v>43</v>
      </c>
      <c r="K3" t="s">
        <v>0</v>
      </c>
      <c r="L3" t="s">
        <v>7</v>
      </c>
      <c r="M3" t="s">
        <v>8</v>
      </c>
      <c r="N3" t="s">
        <v>14</v>
      </c>
      <c r="O3" t="s">
        <v>16</v>
      </c>
      <c r="P3" t="s">
        <v>19</v>
      </c>
      <c r="Q3" t="s">
        <v>43</v>
      </c>
      <c r="Z3" t="s">
        <v>0</v>
      </c>
      <c r="AA3" t="s">
        <v>7</v>
      </c>
      <c r="AB3" t="s">
        <v>8</v>
      </c>
      <c r="AC3" t="s">
        <v>14</v>
      </c>
      <c r="AD3" t="s">
        <v>16</v>
      </c>
      <c r="AE3" t="s">
        <v>19</v>
      </c>
      <c r="AF3" t="s">
        <v>29</v>
      </c>
    </row>
    <row r="4" spans="1:32" x14ac:dyDescent="0.2">
      <c r="A4" s="1" t="s">
        <v>33</v>
      </c>
      <c r="B4">
        <v>4</v>
      </c>
      <c r="C4">
        <v>5</v>
      </c>
      <c r="D4">
        <v>3</v>
      </c>
      <c r="E4">
        <v>4</v>
      </c>
      <c r="F4">
        <v>3</v>
      </c>
      <c r="G4">
        <v>4</v>
      </c>
      <c r="K4" s="1" t="s">
        <v>33</v>
      </c>
      <c r="L4" s="2">
        <v>3</v>
      </c>
      <c r="M4" s="2">
        <v>3</v>
      </c>
      <c r="N4" s="2">
        <v>2</v>
      </c>
      <c r="O4" s="2">
        <v>3</v>
      </c>
      <c r="P4" s="2">
        <v>2</v>
      </c>
      <c r="Q4" s="2">
        <v>3</v>
      </c>
      <c r="Z4" s="1" t="s">
        <v>33</v>
      </c>
      <c r="AA4">
        <v>4</v>
      </c>
      <c r="AB4">
        <v>5</v>
      </c>
      <c r="AC4">
        <v>3</v>
      </c>
      <c r="AD4">
        <v>4</v>
      </c>
      <c r="AE4">
        <v>3</v>
      </c>
      <c r="AF4">
        <v>4</v>
      </c>
    </row>
    <row r="5" spans="1:32" x14ac:dyDescent="0.2">
      <c r="A5" t="s">
        <v>32</v>
      </c>
      <c r="B5">
        <v>4</v>
      </c>
      <c r="C5">
        <v>5</v>
      </c>
      <c r="D5">
        <v>4</v>
      </c>
      <c r="E5">
        <v>4</v>
      </c>
      <c r="F5">
        <v>4</v>
      </c>
      <c r="G5">
        <v>5</v>
      </c>
      <c r="K5" s="2" t="s">
        <v>32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Q5" s="2">
        <v>3</v>
      </c>
      <c r="Z5" t="s">
        <v>32</v>
      </c>
      <c r="AA5">
        <v>4</v>
      </c>
      <c r="AB5">
        <v>5</v>
      </c>
      <c r="AC5">
        <v>4</v>
      </c>
      <c r="AD5">
        <v>4</v>
      </c>
      <c r="AE5">
        <v>4</v>
      </c>
      <c r="AF5">
        <v>5</v>
      </c>
    </row>
    <row r="6" spans="1:32" x14ac:dyDescent="0.2">
      <c r="A6" t="s">
        <v>32</v>
      </c>
      <c r="B6">
        <v>4</v>
      </c>
      <c r="C6">
        <v>3</v>
      </c>
      <c r="D6">
        <v>4</v>
      </c>
      <c r="E6">
        <v>4</v>
      </c>
      <c r="F6">
        <v>4</v>
      </c>
      <c r="G6">
        <v>4</v>
      </c>
      <c r="K6" s="2" t="s">
        <v>32</v>
      </c>
      <c r="L6" s="2">
        <v>3</v>
      </c>
      <c r="M6" s="2">
        <v>2</v>
      </c>
      <c r="N6" s="2">
        <v>3</v>
      </c>
      <c r="O6" s="2">
        <v>3</v>
      </c>
      <c r="P6" s="2">
        <v>3</v>
      </c>
      <c r="Q6" s="2">
        <v>3</v>
      </c>
      <c r="Z6" t="s">
        <v>32</v>
      </c>
      <c r="AA6">
        <v>4</v>
      </c>
      <c r="AB6">
        <v>3</v>
      </c>
      <c r="AC6">
        <v>4</v>
      </c>
      <c r="AD6">
        <v>4</v>
      </c>
      <c r="AE6">
        <v>4</v>
      </c>
      <c r="AF6">
        <v>4</v>
      </c>
    </row>
    <row r="7" spans="1:32" x14ac:dyDescent="0.2">
      <c r="A7" t="s">
        <v>32</v>
      </c>
      <c r="B7">
        <v>3</v>
      </c>
      <c r="C7">
        <v>4</v>
      </c>
      <c r="D7">
        <v>4</v>
      </c>
      <c r="E7">
        <v>3</v>
      </c>
      <c r="F7">
        <v>4</v>
      </c>
      <c r="G7">
        <v>4</v>
      </c>
      <c r="K7" s="2" t="s">
        <v>32</v>
      </c>
      <c r="L7" s="2">
        <v>2</v>
      </c>
      <c r="M7" s="2">
        <v>3</v>
      </c>
      <c r="N7" s="2">
        <v>3</v>
      </c>
      <c r="O7" s="2">
        <v>2</v>
      </c>
      <c r="P7" s="2">
        <v>3</v>
      </c>
      <c r="Q7" s="2">
        <v>3</v>
      </c>
      <c r="Z7" t="s">
        <v>32</v>
      </c>
      <c r="AA7">
        <v>3</v>
      </c>
      <c r="AB7">
        <v>4</v>
      </c>
      <c r="AC7">
        <v>4</v>
      </c>
      <c r="AD7">
        <v>3</v>
      </c>
      <c r="AE7">
        <v>4</v>
      </c>
      <c r="AF7">
        <v>4</v>
      </c>
    </row>
    <row r="8" spans="1:32" x14ac:dyDescent="0.2">
      <c r="A8" t="s">
        <v>32</v>
      </c>
      <c r="B8">
        <v>1</v>
      </c>
      <c r="C8">
        <v>4</v>
      </c>
      <c r="D8">
        <v>3</v>
      </c>
      <c r="E8">
        <v>3</v>
      </c>
      <c r="F8">
        <v>4</v>
      </c>
      <c r="G8">
        <v>5</v>
      </c>
      <c r="K8" s="2" t="s">
        <v>32</v>
      </c>
      <c r="L8" s="2">
        <v>1</v>
      </c>
      <c r="M8" s="2">
        <v>3</v>
      </c>
      <c r="N8" s="2">
        <v>2</v>
      </c>
      <c r="O8" s="2">
        <v>2</v>
      </c>
      <c r="P8" s="2">
        <v>3</v>
      </c>
      <c r="Q8" s="2">
        <v>3</v>
      </c>
      <c r="Z8" t="s">
        <v>32</v>
      </c>
      <c r="AA8">
        <v>1</v>
      </c>
      <c r="AB8">
        <v>4</v>
      </c>
      <c r="AC8">
        <v>3</v>
      </c>
      <c r="AD8">
        <v>3</v>
      </c>
      <c r="AE8">
        <v>4</v>
      </c>
      <c r="AF8">
        <v>5</v>
      </c>
    </row>
    <row r="9" spans="1:32" x14ac:dyDescent="0.2">
      <c r="A9" t="s">
        <v>32</v>
      </c>
      <c r="B9">
        <v>4</v>
      </c>
      <c r="C9">
        <v>4</v>
      </c>
      <c r="D9">
        <v>3</v>
      </c>
      <c r="E9">
        <v>4</v>
      </c>
      <c r="F9">
        <v>3</v>
      </c>
      <c r="G9">
        <v>3</v>
      </c>
      <c r="K9" s="2" t="s">
        <v>32</v>
      </c>
      <c r="L9" s="2">
        <v>3</v>
      </c>
      <c r="M9" s="2">
        <v>3</v>
      </c>
      <c r="N9" s="2">
        <v>2</v>
      </c>
      <c r="O9" s="2">
        <v>3</v>
      </c>
      <c r="P9" s="2">
        <v>2</v>
      </c>
      <c r="Q9" s="2">
        <v>2</v>
      </c>
      <c r="Z9" t="s">
        <v>32</v>
      </c>
      <c r="AA9">
        <v>4</v>
      </c>
      <c r="AB9">
        <v>4</v>
      </c>
      <c r="AC9">
        <v>3</v>
      </c>
      <c r="AD9">
        <v>4</v>
      </c>
      <c r="AE9">
        <v>3</v>
      </c>
      <c r="AF9">
        <v>3</v>
      </c>
    </row>
    <row r="10" spans="1:32" x14ac:dyDescent="0.2">
      <c r="A10" t="s">
        <v>32</v>
      </c>
      <c r="B10">
        <v>4</v>
      </c>
      <c r="C10">
        <v>2</v>
      </c>
      <c r="D10">
        <v>2</v>
      </c>
      <c r="E10">
        <v>3</v>
      </c>
      <c r="F10">
        <v>3</v>
      </c>
      <c r="G10">
        <v>3</v>
      </c>
      <c r="K10" s="2" t="s">
        <v>32</v>
      </c>
      <c r="L10" s="2">
        <v>3</v>
      </c>
      <c r="M10" s="2">
        <v>1</v>
      </c>
      <c r="N10" s="2">
        <v>1</v>
      </c>
      <c r="O10" s="2">
        <v>2</v>
      </c>
      <c r="P10" s="2">
        <v>2</v>
      </c>
      <c r="Q10" s="2">
        <v>2</v>
      </c>
      <c r="Z10" t="s">
        <v>32</v>
      </c>
      <c r="AA10">
        <v>4</v>
      </c>
      <c r="AB10">
        <v>2</v>
      </c>
      <c r="AC10">
        <v>2</v>
      </c>
      <c r="AD10">
        <v>3</v>
      </c>
      <c r="AE10">
        <v>3</v>
      </c>
      <c r="AF10">
        <v>3</v>
      </c>
    </row>
    <row r="11" spans="1:32" x14ac:dyDescent="0.2">
      <c r="A11" t="s">
        <v>32</v>
      </c>
      <c r="B11">
        <v>4</v>
      </c>
      <c r="C11">
        <v>3</v>
      </c>
      <c r="D11">
        <v>4</v>
      </c>
      <c r="E11">
        <v>4</v>
      </c>
      <c r="F11">
        <v>4</v>
      </c>
      <c r="G11">
        <v>4</v>
      </c>
      <c r="K11" s="2" t="s">
        <v>32</v>
      </c>
      <c r="L11" s="2">
        <v>3</v>
      </c>
      <c r="M11" s="2">
        <v>2</v>
      </c>
      <c r="N11" s="2">
        <v>3</v>
      </c>
      <c r="O11" s="2">
        <v>3</v>
      </c>
      <c r="P11" s="2">
        <v>3</v>
      </c>
      <c r="Q11" s="2">
        <v>3</v>
      </c>
      <c r="Z11" t="s">
        <v>32</v>
      </c>
      <c r="AA11">
        <v>4</v>
      </c>
      <c r="AB11">
        <v>3</v>
      </c>
      <c r="AC11">
        <v>4</v>
      </c>
      <c r="AD11">
        <v>4</v>
      </c>
      <c r="AE11">
        <v>4</v>
      </c>
      <c r="AF11">
        <v>4</v>
      </c>
    </row>
    <row r="12" spans="1:32" x14ac:dyDescent="0.2">
      <c r="A12" t="s">
        <v>32</v>
      </c>
      <c r="B12">
        <v>5</v>
      </c>
      <c r="C12">
        <v>4</v>
      </c>
      <c r="D12">
        <v>4</v>
      </c>
      <c r="E12">
        <v>4</v>
      </c>
      <c r="F12">
        <v>5</v>
      </c>
      <c r="G12">
        <v>5</v>
      </c>
      <c r="K12" s="2" t="s">
        <v>32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Z12" t="s">
        <v>32</v>
      </c>
      <c r="AA12">
        <v>5</v>
      </c>
      <c r="AB12">
        <v>4</v>
      </c>
      <c r="AC12">
        <v>4</v>
      </c>
      <c r="AD12">
        <v>4</v>
      </c>
      <c r="AE12">
        <v>5</v>
      </c>
      <c r="AF12">
        <v>5</v>
      </c>
    </row>
    <row r="13" spans="1:32" x14ac:dyDescent="0.2">
      <c r="A13" t="s">
        <v>32</v>
      </c>
      <c r="B13">
        <v>4</v>
      </c>
      <c r="C13">
        <v>4</v>
      </c>
      <c r="D13">
        <v>3</v>
      </c>
      <c r="E13">
        <v>4</v>
      </c>
      <c r="F13">
        <v>4</v>
      </c>
      <c r="G13">
        <v>4</v>
      </c>
      <c r="K13" s="2" t="s">
        <v>32</v>
      </c>
      <c r="L13" s="2">
        <v>3</v>
      </c>
      <c r="M13" s="2">
        <v>3</v>
      </c>
      <c r="N13" s="2">
        <v>2</v>
      </c>
      <c r="O13" s="2">
        <v>3</v>
      </c>
      <c r="P13" s="2">
        <v>3</v>
      </c>
      <c r="Q13" s="2">
        <v>3</v>
      </c>
      <c r="Z13" t="s">
        <v>32</v>
      </c>
      <c r="AA13">
        <v>4</v>
      </c>
      <c r="AB13">
        <v>4</v>
      </c>
      <c r="AC13">
        <v>3</v>
      </c>
      <c r="AD13">
        <v>4</v>
      </c>
      <c r="AE13">
        <v>4</v>
      </c>
      <c r="AF13">
        <v>4</v>
      </c>
    </row>
    <row r="14" spans="1:32" x14ac:dyDescent="0.2">
      <c r="A14" t="s">
        <v>32</v>
      </c>
      <c r="B14">
        <v>4</v>
      </c>
      <c r="C14">
        <v>5</v>
      </c>
      <c r="D14">
        <v>3</v>
      </c>
      <c r="E14">
        <v>4</v>
      </c>
      <c r="F14">
        <v>3</v>
      </c>
      <c r="G14">
        <v>3</v>
      </c>
      <c r="K14" s="2" t="s">
        <v>32</v>
      </c>
      <c r="L14" s="2">
        <v>3</v>
      </c>
      <c r="M14" s="2">
        <v>3</v>
      </c>
      <c r="N14" s="2">
        <v>2</v>
      </c>
      <c r="O14" s="2">
        <v>3</v>
      </c>
      <c r="P14" s="2">
        <v>2</v>
      </c>
      <c r="Q14" s="2">
        <v>2</v>
      </c>
      <c r="Z14" t="s">
        <v>32</v>
      </c>
      <c r="AA14">
        <v>4</v>
      </c>
      <c r="AB14">
        <v>5</v>
      </c>
      <c r="AC14">
        <v>3</v>
      </c>
      <c r="AD14">
        <v>4</v>
      </c>
      <c r="AE14">
        <v>3</v>
      </c>
      <c r="AF14">
        <v>3</v>
      </c>
    </row>
    <row r="15" spans="1:32" x14ac:dyDescent="0.2">
      <c r="A15" t="s">
        <v>32</v>
      </c>
      <c r="B15">
        <v>3</v>
      </c>
      <c r="C15">
        <v>3</v>
      </c>
      <c r="D15">
        <v>3</v>
      </c>
      <c r="E15">
        <v>4</v>
      </c>
      <c r="F15">
        <v>3</v>
      </c>
      <c r="G15">
        <v>5</v>
      </c>
      <c r="K15" s="2" t="s">
        <v>32</v>
      </c>
      <c r="L15" s="2">
        <v>2</v>
      </c>
      <c r="M15" s="2">
        <v>2</v>
      </c>
      <c r="N15" s="2">
        <v>2</v>
      </c>
      <c r="O15" s="2">
        <v>3</v>
      </c>
      <c r="P15" s="2">
        <v>2</v>
      </c>
      <c r="Q15" s="2">
        <v>3</v>
      </c>
      <c r="Z15" t="s">
        <v>32</v>
      </c>
      <c r="AA15">
        <v>3</v>
      </c>
      <c r="AB15">
        <v>3</v>
      </c>
      <c r="AC15">
        <v>3</v>
      </c>
      <c r="AD15">
        <v>4</v>
      </c>
      <c r="AE15">
        <v>3</v>
      </c>
      <c r="AF15">
        <v>5</v>
      </c>
    </row>
    <row r="16" spans="1:32" x14ac:dyDescent="0.2">
      <c r="A16" t="s">
        <v>33</v>
      </c>
      <c r="B16">
        <v>5</v>
      </c>
      <c r="C16">
        <v>5</v>
      </c>
      <c r="D16">
        <v>4</v>
      </c>
      <c r="E16">
        <v>4</v>
      </c>
      <c r="F16">
        <v>4</v>
      </c>
      <c r="G16">
        <v>4</v>
      </c>
      <c r="K16" s="2" t="s">
        <v>33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Z16" t="s">
        <v>33</v>
      </c>
      <c r="AA16">
        <v>5</v>
      </c>
      <c r="AB16">
        <v>5</v>
      </c>
      <c r="AC16">
        <v>4</v>
      </c>
      <c r="AD16">
        <v>4</v>
      </c>
      <c r="AE16">
        <v>4</v>
      </c>
      <c r="AF16">
        <v>4</v>
      </c>
    </row>
    <row r="17" spans="1:32" x14ac:dyDescent="0.2">
      <c r="A17" t="s">
        <v>33</v>
      </c>
      <c r="B17">
        <v>4</v>
      </c>
      <c r="C17">
        <v>4</v>
      </c>
      <c r="D17">
        <v>3</v>
      </c>
      <c r="E17">
        <v>4</v>
      </c>
      <c r="F17">
        <v>3</v>
      </c>
      <c r="G17">
        <v>4</v>
      </c>
      <c r="K17" s="2" t="s">
        <v>33</v>
      </c>
      <c r="L17" s="2">
        <v>3</v>
      </c>
      <c r="M17" s="2">
        <v>3</v>
      </c>
      <c r="N17" s="2">
        <v>2</v>
      </c>
      <c r="O17" s="2">
        <v>3</v>
      </c>
      <c r="P17" s="2">
        <v>2</v>
      </c>
      <c r="Q17" s="2">
        <v>3</v>
      </c>
      <c r="Z17" t="s">
        <v>33</v>
      </c>
      <c r="AA17">
        <v>4</v>
      </c>
      <c r="AB17">
        <v>4</v>
      </c>
      <c r="AC17">
        <v>3</v>
      </c>
      <c r="AD17">
        <v>4</v>
      </c>
      <c r="AE17">
        <v>3</v>
      </c>
      <c r="AF17">
        <v>4</v>
      </c>
    </row>
    <row r="18" spans="1:32" x14ac:dyDescent="0.2">
      <c r="A18" t="s">
        <v>33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K18" s="2" t="s">
        <v>33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Z18" t="s">
        <v>33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</row>
    <row r="19" spans="1:32" x14ac:dyDescent="0.2">
      <c r="A19" t="s">
        <v>33</v>
      </c>
      <c r="B19">
        <v>4</v>
      </c>
      <c r="C19">
        <v>5</v>
      </c>
      <c r="D19">
        <v>4</v>
      </c>
      <c r="E19">
        <v>3</v>
      </c>
      <c r="F19">
        <v>3</v>
      </c>
      <c r="G19">
        <v>5</v>
      </c>
      <c r="K19" s="2" t="s">
        <v>33</v>
      </c>
      <c r="L19" s="2">
        <v>3</v>
      </c>
      <c r="M19" s="2">
        <v>3</v>
      </c>
      <c r="N19" s="2">
        <v>3</v>
      </c>
      <c r="O19" s="2">
        <v>2</v>
      </c>
      <c r="P19" s="2">
        <v>2</v>
      </c>
      <c r="Q19" s="2">
        <v>3</v>
      </c>
      <c r="Z19" t="s">
        <v>33</v>
      </c>
      <c r="AA19">
        <v>4</v>
      </c>
      <c r="AB19">
        <v>5</v>
      </c>
      <c r="AC19">
        <v>4</v>
      </c>
      <c r="AD19">
        <v>3</v>
      </c>
      <c r="AE19">
        <v>3</v>
      </c>
      <c r="AF19">
        <v>5</v>
      </c>
    </row>
    <row r="20" spans="1:32" x14ac:dyDescent="0.2">
      <c r="A20" t="s">
        <v>33</v>
      </c>
      <c r="B20">
        <v>4</v>
      </c>
      <c r="C20">
        <v>4</v>
      </c>
      <c r="D20">
        <v>3</v>
      </c>
      <c r="E20">
        <v>3</v>
      </c>
      <c r="F20">
        <v>3</v>
      </c>
      <c r="G20">
        <v>3</v>
      </c>
      <c r="K20" s="2" t="s">
        <v>33</v>
      </c>
      <c r="L20" s="2">
        <v>3</v>
      </c>
      <c r="M20" s="2">
        <v>3</v>
      </c>
      <c r="N20" s="2">
        <v>2</v>
      </c>
      <c r="O20" s="2">
        <v>2</v>
      </c>
      <c r="P20" s="2">
        <v>2</v>
      </c>
      <c r="Q20" s="2">
        <v>2</v>
      </c>
      <c r="Z20" t="s">
        <v>33</v>
      </c>
      <c r="AA20">
        <v>4</v>
      </c>
      <c r="AB20">
        <v>4</v>
      </c>
      <c r="AC20">
        <v>3</v>
      </c>
      <c r="AD20">
        <v>3</v>
      </c>
      <c r="AE20">
        <v>3</v>
      </c>
      <c r="AF20">
        <v>3</v>
      </c>
    </row>
    <row r="21" spans="1:32" x14ac:dyDescent="0.2">
      <c r="A21" t="s">
        <v>33</v>
      </c>
      <c r="B21">
        <v>4</v>
      </c>
      <c r="C21">
        <v>4</v>
      </c>
      <c r="D21">
        <v>2</v>
      </c>
      <c r="E21">
        <v>3</v>
      </c>
      <c r="F21">
        <v>3</v>
      </c>
      <c r="G21">
        <v>3</v>
      </c>
      <c r="K21" s="2" t="s">
        <v>33</v>
      </c>
      <c r="L21" s="2">
        <v>3</v>
      </c>
      <c r="M21" s="2">
        <v>3</v>
      </c>
      <c r="N21" s="2">
        <v>1</v>
      </c>
      <c r="O21" s="2">
        <v>2</v>
      </c>
      <c r="P21" s="2">
        <v>2</v>
      </c>
      <c r="Q21" s="2">
        <v>2</v>
      </c>
      <c r="Z21" t="s">
        <v>33</v>
      </c>
      <c r="AA21">
        <v>4</v>
      </c>
      <c r="AB21">
        <v>4</v>
      </c>
      <c r="AC21">
        <v>2</v>
      </c>
      <c r="AD21">
        <v>3</v>
      </c>
      <c r="AE21">
        <v>3</v>
      </c>
      <c r="AF21">
        <v>3</v>
      </c>
    </row>
    <row r="22" spans="1:32" x14ac:dyDescent="0.2">
      <c r="A22" t="s">
        <v>33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K22" s="2" t="s">
        <v>33</v>
      </c>
      <c r="L22" s="2">
        <v>3</v>
      </c>
      <c r="M22" s="2">
        <v>3</v>
      </c>
      <c r="N22" s="2">
        <v>3</v>
      </c>
      <c r="O22" s="2">
        <v>3</v>
      </c>
      <c r="P22" s="2">
        <v>3</v>
      </c>
      <c r="Q22" s="2">
        <v>3</v>
      </c>
      <c r="Z22" t="s">
        <v>33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</row>
    <row r="23" spans="1:32" x14ac:dyDescent="0.2">
      <c r="A23" t="s">
        <v>31</v>
      </c>
      <c r="B23">
        <v>4</v>
      </c>
      <c r="C23">
        <v>4</v>
      </c>
      <c r="D23">
        <v>2</v>
      </c>
      <c r="E23">
        <v>3</v>
      </c>
      <c r="F23">
        <v>3</v>
      </c>
      <c r="G23">
        <v>4</v>
      </c>
      <c r="K23" s="2" t="s">
        <v>31</v>
      </c>
      <c r="L23" s="2">
        <v>3</v>
      </c>
      <c r="M23" s="2">
        <v>3</v>
      </c>
      <c r="N23" s="2">
        <v>1</v>
      </c>
      <c r="O23" s="2">
        <v>2</v>
      </c>
      <c r="P23" s="2">
        <v>2</v>
      </c>
      <c r="Q23" s="2">
        <v>3</v>
      </c>
      <c r="Z23" t="s">
        <v>31</v>
      </c>
      <c r="AA23">
        <v>4</v>
      </c>
      <c r="AB23">
        <v>4</v>
      </c>
      <c r="AC23">
        <v>2</v>
      </c>
      <c r="AD23">
        <v>3</v>
      </c>
      <c r="AE23">
        <v>3</v>
      </c>
      <c r="AF23">
        <v>4</v>
      </c>
    </row>
    <row r="24" spans="1:32" x14ac:dyDescent="0.2">
      <c r="A24" t="s">
        <v>31</v>
      </c>
      <c r="B24">
        <v>4</v>
      </c>
      <c r="C24">
        <v>4</v>
      </c>
      <c r="D24">
        <v>4</v>
      </c>
      <c r="E24">
        <v>3</v>
      </c>
      <c r="F24">
        <v>2</v>
      </c>
      <c r="G24">
        <v>2</v>
      </c>
      <c r="K24" s="2" t="s">
        <v>31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1</v>
      </c>
      <c r="Z24" t="s">
        <v>31</v>
      </c>
      <c r="AA24">
        <v>4</v>
      </c>
      <c r="AB24">
        <v>4</v>
      </c>
      <c r="AC24">
        <v>4</v>
      </c>
      <c r="AD24">
        <v>3</v>
      </c>
      <c r="AE24">
        <v>2</v>
      </c>
      <c r="AF24">
        <v>2</v>
      </c>
    </row>
    <row r="25" spans="1:32" x14ac:dyDescent="0.2">
      <c r="A25" t="s">
        <v>31</v>
      </c>
      <c r="B25">
        <v>4</v>
      </c>
      <c r="C25">
        <v>4</v>
      </c>
      <c r="D25">
        <v>3</v>
      </c>
      <c r="E25">
        <v>4</v>
      </c>
      <c r="F25">
        <v>4</v>
      </c>
      <c r="G25">
        <v>3</v>
      </c>
      <c r="K25" s="2" t="s">
        <v>31</v>
      </c>
      <c r="L25" s="2">
        <v>3</v>
      </c>
      <c r="M25" s="2">
        <v>3</v>
      </c>
      <c r="N25" s="2">
        <v>2</v>
      </c>
      <c r="O25" s="2">
        <v>3</v>
      </c>
      <c r="P25" s="2">
        <v>3</v>
      </c>
      <c r="Q25" s="2">
        <v>2</v>
      </c>
      <c r="Z25" t="s">
        <v>31</v>
      </c>
      <c r="AA25">
        <v>4</v>
      </c>
      <c r="AB25">
        <v>4</v>
      </c>
      <c r="AC25">
        <v>3</v>
      </c>
      <c r="AD25">
        <v>4</v>
      </c>
      <c r="AE25">
        <v>4</v>
      </c>
      <c r="AF25">
        <v>3</v>
      </c>
    </row>
    <row r="26" spans="1:32" x14ac:dyDescent="0.2">
      <c r="A26" t="s">
        <v>31</v>
      </c>
      <c r="B26">
        <v>4</v>
      </c>
      <c r="C26">
        <v>3</v>
      </c>
      <c r="D26">
        <v>3</v>
      </c>
      <c r="E26">
        <v>3</v>
      </c>
      <c r="F26">
        <v>4</v>
      </c>
      <c r="G26">
        <v>3</v>
      </c>
      <c r="K26" s="2" t="s">
        <v>31</v>
      </c>
      <c r="L26" s="2">
        <v>3</v>
      </c>
      <c r="M26" s="2">
        <v>2</v>
      </c>
      <c r="N26" s="2">
        <v>2</v>
      </c>
      <c r="O26" s="2">
        <v>2</v>
      </c>
      <c r="P26" s="2">
        <v>3</v>
      </c>
      <c r="Q26" s="2">
        <v>2</v>
      </c>
      <c r="Z26" t="s">
        <v>31</v>
      </c>
      <c r="AA26">
        <v>4</v>
      </c>
      <c r="AB26">
        <v>3</v>
      </c>
      <c r="AC26">
        <v>3</v>
      </c>
      <c r="AD26">
        <v>3</v>
      </c>
      <c r="AE26">
        <v>4</v>
      </c>
      <c r="AF26">
        <v>3</v>
      </c>
    </row>
    <row r="27" spans="1:32" x14ac:dyDescent="0.2">
      <c r="A27" t="s">
        <v>31</v>
      </c>
      <c r="B27">
        <v>4</v>
      </c>
      <c r="C27">
        <v>3</v>
      </c>
      <c r="D27">
        <v>4</v>
      </c>
      <c r="E27">
        <v>3</v>
      </c>
      <c r="F27">
        <v>4</v>
      </c>
      <c r="G27">
        <v>5</v>
      </c>
      <c r="K27" s="2" t="s">
        <v>31</v>
      </c>
      <c r="L27" s="2">
        <v>3</v>
      </c>
      <c r="M27" s="2">
        <v>2</v>
      </c>
      <c r="N27" s="2">
        <v>3</v>
      </c>
      <c r="O27" s="2">
        <v>2</v>
      </c>
      <c r="P27" s="2">
        <v>3</v>
      </c>
      <c r="Q27" s="2">
        <v>3</v>
      </c>
      <c r="Z27" t="s">
        <v>31</v>
      </c>
      <c r="AA27">
        <v>4</v>
      </c>
      <c r="AB27">
        <v>3</v>
      </c>
      <c r="AC27">
        <v>4</v>
      </c>
      <c r="AD27">
        <v>3</v>
      </c>
      <c r="AE27">
        <v>4</v>
      </c>
      <c r="AF27">
        <v>5</v>
      </c>
    </row>
    <row r="28" spans="1:32" x14ac:dyDescent="0.2">
      <c r="A28" t="s">
        <v>31</v>
      </c>
      <c r="B28">
        <v>2</v>
      </c>
      <c r="C28">
        <v>4</v>
      </c>
      <c r="D28">
        <v>3</v>
      </c>
      <c r="E28">
        <v>2</v>
      </c>
      <c r="F28">
        <v>4</v>
      </c>
      <c r="G28">
        <v>3</v>
      </c>
      <c r="K28" s="2" t="s">
        <v>31</v>
      </c>
      <c r="L28" s="2">
        <v>1</v>
      </c>
      <c r="M28" s="2">
        <v>3</v>
      </c>
      <c r="N28" s="2">
        <v>2</v>
      </c>
      <c r="O28" s="2">
        <v>1</v>
      </c>
      <c r="P28" s="2">
        <v>3</v>
      </c>
      <c r="Q28" s="2">
        <v>2</v>
      </c>
      <c r="Z28" t="s">
        <v>31</v>
      </c>
      <c r="AA28">
        <v>2</v>
      </c>
      <c r="AB28">
        <v>4</v>
      </c>
      <c r="AC28">
        <v>3</v>
      </c>
      <c r="AD28">
        <v>2</v>
      </c>
      <c r="AE28">
        <v>4</v>
      </c>
      <c r="AF28">
        <v>3</v>
      </c>
    </row>
    <row r="29" spans="1:32" x14ac:dyDescent="0.2">
      <c r="A29" t="s">
        <v>31</v>
      </c>
      <c r="B29">
        <v>3</v>
      </c>
      <c r="C29">
        <v>3</v>
      </c>
      <c r="D29">
        <v>5</v>
      </c>
      <c r="E29">
        <v>3</v>
      </c>
      <c r="F29">
        <v>4</v>
      </c>
      <c r="G29">
        <v>4</v>
      </c>
      <c r="K29" s="2" t="s">
        <v>31</v>
      </c>
      <c r="L29" s="2">
        <v>2</v>
      </c>
      <c r="M29" s="2">
        <v>2</v>
      </c>
      <c r="N29" s="2">
        <v>3</v>
      </c>
      <c r="O29" s="2">
        <v>2</v>
      </c>
      <c r="P29" s="2">
        <v>3</v>
      </c>
      <c r="Q29" s="2">
        <v>3</v>
      </c>
      <c r="Z29" t="s">
        <v>31</v>
      </c>
      <c r="AA29">
        <v>3</v>
      </c>
      <c r="AB29">
        <v>3</v>
      </c>
      <c r="AC29">
        <v>5</v>
      </c>
      <c r="AD29">
        <v>3</v>
      </c>
      <c r="AE29">
        <v>4</v>
      </c>
      <c r="AF29">
        <v>4</v>
      </c>
    </row>
    <row r="30" spans="1:32" x14ac:dyDescent="0.2">
      <c r="A30" t="s">
        <v>31</v>
      </c>
      <c r="B30">
        <v>2</v>
      </c>
      <c r="C30">
        <v>4</v>
      </c>
      <c r="D30">
        <v>5</v>
      </c>
      <c r="E30">
        <v>4</v>
      </c>
      <c r="F30">
        <v>4</v>
      </c>
      <c r="G30">
        <v>3</v>
      </c>
      <c r="K30" s="2" t="s">
        <v>31</v>
      </c>
      <c r="L30" s="2">
        <v>1</v>
      </c>
      <c r="M30" s="2">
        <v>3</v>
      </c>
      <c r="N30" s="2">
        <v>3</v>
      </c>
      <c r="O30" s="2">
        <v>3</v>
      </c>
      <c r="P30" s="2">
        <v>3</v>
      </c>
      <c r="Q30" s="2">
        <v>2</v>
      </c>
      <c r="Z30" t="s">
        <v>31</v>
      </c>
      <c r="AA30">
        <v>2</v>
      </c>
      <c r="AB30">
        <v>4</v>
      </c>
      <c r="AC30">
        <v>5</v>
      </c>
      <c r="AD30">
        <v>4</v>
      </c>
      <c r="AE30">
        <v>4</v>
      </c>
      <c r="AF30">
        <v>3</v>
      </c>
    </row>
    <row r="31" spans="1:32" x14ac:dyDescent="0.2">
      <c r="A31" t="s">
        <v>31</v>
      </c>
      <c r="B31">
        <v>5</v>
      </c>
      <c r="C31">
        <v>5</v>
      </c>
      <c r="D31">
        <v>4</v>
      </c>
      <c r="E31">
        <v>5</v>
      </c>
      <c r="F31">
        <v>4</v>
      </c>
      <c r="G31">
        <v>5</v>
      </c>
      <c r="K31" s="2" t="s">
        <v>31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2">
        <v>3</v>
      </c>
      <c r="Z31" t="s">
        <v>31</v>
      </c>
      <c r="AA31">
        <v>5</v>
      </c>
      <c r="AB31">
        <v>5</v>
      </c>
      <c r="AC31">
        <v>4</v>
      </c>
      <c r="AD31">
        <v>5</v>
      </c>
      <c r="AE31">
        <v>4</v>
      </c>
      <c r="AF31">
        <v>5</v>
      </c>
    </row>
    <row r="32" spans="1:32" x14ac:dyDescent="0.2">
      <c r="A32" t="s">
        <v>31</v>
      </c>
      <c r="B32">
        <v>5</v>
      </c>
      <c r="C32">
        <v>4</v>
      </c>
      <c r="D32">
        <v>4</v>
      </c>
      <c r="E32">
        <v>4</v>
      </c>
      <c r="F32">
        <v>4</v>
      </c>
      <c r="G32">
        <v>4</v>
      </c>
      <c r="K32" s="2" t="s">
        <v>31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Z32" t="s">
        <v>31</v>
      </c>
      <c r="AA32">
        <v>5</v>
      </c>
      <c r="AB32">
        <v>4</v>
      </c>
      <c r="AC32">
        <v>4</v>
      </c>
      <c r="AD32">
        <v>4</v>
      </c>
      <c r="AE32">
        <v>4</v>
      </c>
      <c r="AF32">
        <v>4</v>
      </c>
    </row>
    <row r="33" spans="1:32" x14ac:dyDescent="0.2">
      <c r="A33" t="s">
        <v>31</v>
      </c>
      <c r="B33">
        <v>4</v>
      </c>
      <c r="C33">
        <v>4</v>
      </c>
      <c r="D33">
        <v>5</v>
      </c>
      <c r="E33">
        <v>3</v>
      </c>
      <c r="F33">
        <v>5</v>
      </c>
      <c r="G33">
        <v>4</v>
      </c>
      <c r="K33" s="2" t="s">
        <v>31</v>
      </c>
      <c r="L33" s="2">
        <v>3</v>
      </c>
      <c r="M33" s="2">
        <v>3</v>
      </c>
      <c r="N33" s="2">
        <v>3</v>
      </c>
      <c r="O33" s="2">
        <v>2</v>
      </c>
      <c r="P33" s="2">
        <v>3</v>
      </c>
      <c r="Q33" s="2">
        <v>3</v>
      </c>
      <c r="Z33" t="s">
        <v>31</v>
      </c>
      <c r="AA33">
        <v>4</v>
      </c>
      <c r="AB33">
        <v>4</v>
      </c>
      <c r="AC33">
        <v>5</v>
      </c>
      <c r="AD33">
        <v>3</v>
      </c>
      <c r="AE33">
        <v>5</v>
      </c>
      <c r="AF33">
        <v>4</v>
      </c>
    </row>
    <row r="34" spans="1:32" x14ac:dyDescent="0.2">
      <c r="A34" t="s">
        <v>31</v>
      </c>
      <c r="B34">
        <v>3</v>
      </c>
      <c r="C34">
        <v>2</v>
      </c>
      <c r="D34">
        <v>3</v>
      </c>
      <c r="E34">
        <v>3</v>
      </c>
      <c r="F34">
        <v>4</v>
      </c>
      <c r="G34">
        <v>3</v>
      </c>
      <c r="K34" s="2" t="s">
        <v>31</v>
      </c>
      <c r="L34" s="2">
        <v>2</v>
      </c>
      <c r="M34" s="2">
        <v>1</v>
      </c>
      <c r="N34" s="2">
        <v>2</v>
      </c>
      <c r="O34" s="2">
        <v>2</v>
      </c>
      <c r="P34" s="2">
        <v>3</v>
      </c>
      <c r="Q34" s="2">
        <v>2</v>
      </c>
      <c r="Z34" t="s">
        <v>31</v>
      </c>
      <c r="AA34">
        <v>3</v>
      </c>
      <c r="AB34">
        <v>2</v>
      </c>
      <c r="AC34">
        <v>3</v>
      </c>
      <c r="AD34">
        <v>3</v>
      </c>
      <c r="AE34">
        <v>4</v>
      </c>
      <c r="AF34">
        <v>3</v>
      </c>
    </row>
    <row r="35" spans="1:32" x14ac:dyDescent="0.2">
      <c r="A35" t="s">
        <v>31</v>
      </c>
      <c r="B35">
        <v>3</v>
      </c>
      <c r="C35">
        <v>4</v>
      </c>
      <c r="D35">
        <v>4</v>
      </c>
      <c r="E35">
        <v>4</v>
      </c>
      <c r="F35">
        <v>4</v>
      </c>
      <c r="G35">
        <v>4</v>
      </c>
      <c r="K35" s="2" t="s">
        <v>31</v>
      </c>
      <c r="L35" s="2">
        <v>2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Z35" t="s">
        <v>31</v>
      </c>
      <c r="AA35">
        <v>3</v>
      </c>
      <c r="AB35">
        <v>4</v>
      </c>
      <c r="AC35">
        <v>4</v>
      </c>
      <c r="AD35">
        <v>4</v>
      </c>
      <c r="AE35">
        <v>4</v>
      </c>
      <c r="AF35">
        <v>4</v>
      </c>
    </row>
    <row r="36" spans="1:32" x14ac:dyDescent="0.2">
      <c r="A36" t="s">
        <v>31</v>
      </c>
      <c r="B36">
        <v>4</v>
      </c>
      <c r="C36">
        <v>5</v>
      </c>
      <c r="D36">
        <v>5</v>
      </c>
      <c r="E36">
        <v>5</v>
      </c>
      <c r="F36">
        <v>4</v>
      </c>
      <c r="G36">
        <v>4</v>
      </c>
      <c r="K36" s="2" t="s">
        <v>31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Z36" t="s">
        <v>31</v>
      </c>
      <c r="AA36">
        <v>4</v>
      </c>
      <c r="AB36">
        <v>5</v>
      </c>
      <c r="AC36">
        <v>5</v>
      </c>
      <c r="AD36">
        <v>5</v>
      </c>
      <c r="AE36">
        <v>4</v>
      </c>
      <c r="AF36">
        <v>4</v>
      </c>
    </row>
    <row r="37" spans="1:32" x14ac:dyDescent="0.2">
      <c r="A37" t="s">
        <v>31</v>
      </c>
      <c r="B37">
        <v>3</v>
      </c>
      <c r="C37">
        <v>4</v>
      </c>
      <c r="D37">
        <v>3</v>
      </c>
      <c r="E37">
        <v>3</v>
      </c>
      <c r="F37">
        <v>3</v>
      </c>
      <c r="G37">
        <v>3</v>
      </c>
      <c r="K37" s="2" t="s">
        <v>31</v>
      </c>
      <c r="L37" s="2">
        <v>2</v>
      </c>
      <c r="M37" s="2">
        <v>3</v>
      </c>
      <c r="N37" s="2">
        <v>2</v>
      </c>
      <c r="O37" s="2">
        <v>2</v>
      </c>
      <c r="P37" s="2">
        <v>2</v>
      </c>
      <c r="Q37" s="2">
        <v>2</v>
      </c>
      <c r="Z37" t="s">
        <v>31</v>
      </c>
      <c r="AA37">
        <v>3</v>
      </c>
      <c r="AB37">
        <v>4</v>
      </c>
      <c r="AC37">
        <v>3</v>
      </c>
      <c r="AD37">
        <v>3</v>
      </c>
      <c r="AE37">
        <v>3</v>
      </c>
      <c r="AF37">
        <v>3</v>
      </c>
    </row>
    <row r="38" spans="1:32" x14ac:dyDescent="0.2">
      <c r="A38" t="s">
        <v>31</v>
      </c>
      <c r="B38">
        <v>4</v>
      </c>
      <c r="C38">
        <v>5</v>
      </c>
      <c r="D38">
        <v>4</v>
      </c>
      <c r="E38">
        <v>3</v>
      </c>
      <c r="F38">
        <v>4</v>
      </c>
      <c r="G38">
        <v>3</v>
      </c>
      <c r="K38" s="2" t="s">
        <v>31</v>
      </c>
      <c r="L38" s="2">
        <v>3</v>
      </c>
      <c r="M38" s="2">
        <v>3</v>
      </c>
      <c r="N38" s="2">
        <v>3</v>
      </c>
      <c r="O38" s="2">
        <v>2</v>
      </c>
      <c r="P38" s="2">
        <v>3</v>
      </c>
      <c r="Q38" s="2">
        <v>2</v>
      </c>
      <c r="Z38" t="s">
        <v>31</v>
      </c>
      <c r="AA38">
        <v>4</v>
      </c>
      <c r="AB38">
        <v>5</v>
      </c>
      <c r="AC38">
        <v>4</v>
      </c>
      <c r="AD38">
        <v>3</v>
      </c>
      <c r="AE38">
        <v>4</v>
      </c>
      <c r="AF38">
        <v>3</v>
      </c>
    </row>
    <row r="39" spans="1:32" x14ac:dyDescent="0.2">
      <c r="A39" t="s">
        <v>31</v>
      </c>
      <c r="B39">
        <v>5</v>
      </c>
      <c r="C39">
        <v>4</v>
      </c>
      <c r="D39">
        <v>5</v>
      </c>
      <c r="E39">
        <v>5</v>
      </c>
      <c r="F39">
        <v>4</v>
      </c>
      <c r="G39">
        <v>5</v>
      </c>
      <c r="K39" s="2" t="s">
        <v>31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Z39" t="s">
        <v>31</v>
      </c>
      <c r="AA39">
        <v>5</v>
      </c>
      <c r="AB39">
        <v>4</v>
      </c>
      <c r="AC39">
        <v>5</v>
      </c>
      <c r="AD39">
        <v>5</v>
      </c>
      <c r="AE39">
        <v>4</v>
      </c>
      <c r="AF39">
        <v>5</v>
      </c>
    </row>
    <row r="40" spans="1:32" x14ac:dyDescent="0.2">
      <c r="A40" t="s">
        <v>31</v>
      </c>
      <c r="B40">
        <v>5</v>
      </c>
      <c r="C40">
        <v>5</v>
      </c>
      <c r="D40">
        <v>4</v>
      </c>
      <c r="E40">
        <v>5</v>
      </c>
      <c r="F40">
        <v>4</v>
      </c>
      <c r="G40">
        <v>5</v>
      </c>
      <c r="K40" s="2" t="s">
        <v>31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3</v>
      </c>
      <c r="Z40" t="s">
        <v>31</v>
      </c>
      <c r="AA40">
        <v>5</v>
      </c>
      <c r="AB40">
        <v>5</v>
      </c>
      <c r="AC40">
        <v>4</v>
      </c>
      <c r="AD40">
        <v>5</v>
      </c>
      <c r="AE40">
        <v>4</v>
      </c>
      <c r="AF40">
        <v>5</v>
      </c>
    </row>
    <row r="41" spans="1:32" x14ac:dyDescent="0.2">
      <c r="A41" t="s">
        <v>31</v>
      </c>
      <c r="B41">
        <v>5</v>
      </c>
      <c r="C41">
        <v>4</v>
      </c>
      <c r="D41">
        <v>4</v>
      </c>
      <c r="E41">
        <v>3</v>
      </c>
      <c r="F41">
        <v>4</v>
      </c>
      <c r="G41">
        <v>5</v>
      </c>
      <c r="K41" s="2" t="s">
        <v>31</v>
      </c>
      <c r="L41" s="2">
        <v>3</v>
      </c>
      <c r="M41" s="2">
        <v>3</v>
      </c>
      <c r="N41" s="2">
        <v>3</v>
      </c>
      <c r="O41" s="2">
        <v>2</v>
      </c>
      <c r="P41" s="2">
        <v>3</v>
      </c>
      <c r="Q41" s="2">
        <v>3</v>
      </c>
      <c r="Z41" t="s">
        <v>31</v>
      </c>
      <c r="AA41">
        <v>5</v>
      </c>
      <c r="AB41">
        <v>4</v>
      </c>
      <c r="AC41">
        <v>4</v>
      </c>
      <c r="AD41">
        <v>3</v>
      </c>
      <c r="AE41">
        <v>4</v>
      </c>
      <c r="AF41">
        <v>5</v>
      </c>
    </row>
    <row r="42" spans="1:32" x14ac:dyDescent="0.2">
      <c r="A42" t="s">
        <v>31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K42" s="2" t="s">
        <v>31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Z42" t="s">
        <v>31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</row>
    <row r="43" spans="1:32" x14ac:dyDescent="0.2">
      <c r="A43" t="s">
        <v>31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K43" s="2" t="s">
        <v>31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Z43" t="s">
        <v>31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</row>
    <row r="44" spans="1:32" x14ac:dyDescent="0.2">
      <c r="A44" t="s">
        <v>31</v>
      </c>
      <c r="B44">
        <v>3</v>
      </c>
      <c r="C44">
        <v>3</v>
      </c>
      <c r="D44">
        <v>3</v>
      </c>
      <c r="E44">
        <v>4</v>
      </c>
      <c r="F44">
        <v>3</v>
      </c>
      <c r="G44">
        <v>4</v>
      </c>
      <c r="K44" s="2" t="s">
        <v>31</v>
      </c>
      <c r="L44" s="2">
        <v>2</v>
      </c>
      <c r="M44" s="2">
        <v>2</v>
      </c>
      <c r="N44" s="2">
        <v>2</v>
      </c>
      <c r="O44" s="2">
        <v>3</v>
      </c>
      <c r="P44" s="2">
        <v>2</v>
      </c>
      <c r="Q44" s="2">
        <v>3</v>
      </c>
      <c r="Z44" t="s">
        <v>31</v>
      </c>
      <c r="AA44">
        <v>3</v>
      </c>
      <c r="AB44">
        <v>3</v>
      </c>
      <c r="AC44">
        <v>3</v>
      </c>
      <c r="AD44">
        <v>4</v>
      </c>
      <c r="AE44">
        <v>3</v>
      </c>
      <c r="AF44">
        <v>4</v>
      </c>
    </row>
    <row r="45" spans="1:32" x14ac:dyDescent="0.2">
      <c r="A45" t="s">
        <v>31</v>
      </c>
      <c r="B45">
        <v>3</v>
      </c>
      <c r="C45">
        <v>3</v>
      </c>
      <c r="D45">
        <v>4</v>
      </c>
      <c r="E45">
        <v>4</v>
      </c>
      <c r="F45">
        <v>3</v>
      </c>
      <c r="G45">
        <v>4</v>
      </c>
      <c r="K45" s="2" t="s">
        <v>31</v>
      </c>
      <c r="L45" s="2">
        <v>2</v>
      </c>
      <c r="M45" s="2">
        <v>2</v>
      </c>
      <c r="N45" s="2">
        <v>3</v>
      </c>
      <c r="O45" s="2">
        <v>3</v>
      </c>
      <c r="P45" s="2">
        <v>2</v>
      </c>
      <c r="Q45" s="2">
        <v>3</v>
      </c>
      <c r="Z45" t="s">
        <v>31</v>
      </c>
      <c r="AA45">
        <v>3</v>
      </c>
      <c r="AB45">
        <v>3</v>
      </c>
      <c r="AC45">
        <v>4</v>
      </c>
      <c r="AD45">
        <v>4</v>
      </c>
      <c r="AE45">
        <v>3</v>
      </c>
      <c r="AF45">
        <v>4</v>
      </c>
    </row>
    <row r="46" spans="1:32" x14ac:dyDescent="0.2">
      <c r="A46" t="s">
        <v>31</v>
      </c>
      <c r="B46">
        <v>5</v>
      </c>
      <c r="C46">
        <v>5</v>
      </c>
      <c r="D46">
        <v>4</v>
      </c>
      <c r="E46">
        <v>5</v>
      </c>
      <c r="F46">
        <v>4</v>
      </c>
      <c r="G46">
        <v>4</v>
      </c>
      <c r="K46" s="2" t="s">
        <v>31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Z46" t="s">
        <v>31</v>
      </c>
      <c r="AA46">
        <v>5</v>
      </c>
      <c r="AB46">
        <v>5</v>
      </c>
      <c r="AC46">
        <v>4</v>
      </c>
      <c r="AD46">
        <v>5</v>
      </c>
      <c r="AE46">
        <v>4</v>
      </c>
      <c r="AF46">
        <v>4</v>
      </c>
    </row>
    <row r="47" spans="1:32" x14ac:dyDescent="0.2">
      <c r="A47" t="s">
        <v>31</v>
      </c>
      <c r="B47">
        <v>4</v>
      </c>
      <c r="C47">
        <v>4</v>
      </c>
      <c r="D47">
        <v>4</v>
      </c>
      <c r="E47">
        <v>4</v>
      </c>
      <c r="F47">
        <v>4</v>
      </c>
      <c r="G47">
        <v>5</v>
      </c>
      <c r="K47" s="2" t="s">
        <v>31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Z47" t="s">
        <v>31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5</v>
      </c>
    </row>
    <row r="48" spans="1:32" x14ac:dyDescent="0.2">
      <c r="A48" t="s">
        <v>31</v>
      </c>
      <c r="B48">
        <v>3</v>
      </c>
      <c r="C48">
        <v>4</v>
      </c>
      <c r="D48">
        <v>3</v>
      </c>
      <c r="E48">
        <v>3</v>
      </c>
      <c r="F48">
        <v>4</v>
      </c>
      <c r="G48">
        <v>4</v>
      </c>
      <c r="K48" s="2" t="s">
        <v>31</v>
      </c>
      <c r="L48" s="2">
        <v>2</v>
      </c>
      <c r="M48" s="2">
        <v>3</v>
      </c>
      <c r="N48" s="2">
        <v>2</v>
      </c>
      <c r="O48" s="2">
        <v>2</v>
      </c>
      <c r="P48" s="2">
        <v>3</v>
      </c>
      <c r="Q48" s="2">
        <v>3</v>
      </c>
      <c r="Z48" t="s">
        <v>31</v>
      </c>
      <c r="AA48">
        <v>3</v>
      </c>
      <c r="AB48">
        <v>4</v>
      </c>
      <c r="AC48">
        <v>3</v>
      </c>
      <c r="AD48">
        <v>3</v>
      </c>
      <c r="AE48">
        <v>4</v>
      </c>
      <c r="AF48">
        <v>4</v>
      </c>
    </row>
    <row r="49" spans="1:32" x14ac:dyDescent="0.2">
      <c r="A49" t="s">
        <v>31</v>
      </c>
      <c r="B49">
        <v>5</v>
      </c>
      <c r="C49">
        <v>5</v>
      </c>
      <c r="D49">
        <v>3</v>
      </c>
      <c r="E49">
        <v>5</v>
      </c>
      <c r="F49">
        <v>4</v>
      </c>
      <c r="G49">
        <v>4</v>
      </c>
      <c r="K49" s="2" t="s">
        <v>31</v>
      </c>
      <c r="L49" s="2">
        <v>3</v>
      </c>
      <c r="M49" s="2">
        <v>3</v>
      </c>
      <c r="N49" s="2">
        <v>2</v>
      </c>
      <c r="O49" s="2">
        <v>3</v>
      </c>
      <c r="P49" s="2">
        <v>3</v>
      </c>
      <c r="Q49" s="2">
        <v>3</v>
      </c>
      <c r="Z49" t="s">
        <v>31</v>
      </c>
      <c r="AA49">
        <v>5</v>
      </c>
      <c r="AB49">
        <v>5</v>
      </c>
      <c r="AC49">
        <v>3</v>
      </c>
      <c r="AD49">
        <v>5</v>
      </c>
      <c r="AE49">
        <v>4</v>
      </c>
      <c r="AF49">
        <v>4</v>
      </c>
    </row>
    <row r="50" spans="1:32" x14ac:dyDescent="0.2">
      <c r="A50" t="s">
        <v>31</v>
      </c>
      <c r="B50">
        <v>5</v>
      </c>
      <c r="C50">
        <v>5</v>
      </c>
      <c r="D50">
        <v>4</v>
      </c>
      <c r="E50">
        <v>5</v>
      </c>
      <c r="F50">
        <v>4</v>
      </c>
      <c r="G50">
        <v>5</v>
      </c>
      <c r="K50" s="2" t="s">
        <v>31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Z50" t="s">
        <v>31</v>
      </c>
      <c r="AA50">
        <v>5</v>
      </c>
      <c r="AB50">
        <v>5</v>
      </c>
      <c r="AC50">
        <v>4</v>
      </c>
      <c r="AD50">
        <v>5</v>
      </c>
      <c r="AE50">
        <v>4</v>
      </c>
      <c r="AF50">
        <v>5</v>
      </c>
    </row>
    <row r="51" spans="1:32" x14ac:dyDescent="0.2">
      <c r="A51" t="s">
        <v>31</v>
      </c>
      <c r="B51">
        <v>4</v>
      </c>
      <c r="C51">
        <v>4</v>
      </c>
      <c r="D51">
        <v>4</v>
      </c>
      <c r="E51">
        <v>4</v>
      </c>
      <c r="F51">
        <v>3</v>
      </c>
      <c r="G51">
        <v>4</v>
      </c>
      <c r="K51" s="2" t="s">
        <v>31</v>
      </c>
      <c r="L51" s="2">
        <v>3</v>
      </c>
      <c r="M51" s="2">
        <v>3</v>
      </c>
      <c r="N51" s="2">
        <v>3</v>
      </c>
      <c r="O51" s="2">
        <v>3</v>
      </c>
      <c r="P51" s="2">
        <v>2</v>
      </c>
      <c r="Q51" s="2">
        <v>3</v>
      </c>
      <c r="Z51" t="s">
        <v>31</v>
      </c>
      <c r="AA51">
        <v>4</v>
      </c>
      <c r="AB51">
        <v>4</v>
      </c>
      <c r="AC51">
        <v>4</v>
      </c>
      <c r="AD51">
        <v>4</v>
      </c>
      <c r="AE51">
        <v>3</v>
      </c>
      <c r="AF51">
        <v>4</v>
      </c>
    </row>
    <row r="52" spans="1:32" x14ac:dyDescent="0.2">
      <c r="A52" t="s">
        <v>31</v>
      </c>
      <c r="B52">
        <v>4</v>
      </c>
      <c r="C52">
        <v>5</v>
      </c>
      <c r="D52">
        <v>5</v>
      </c>
      <c r="E52">
        <v>5</v>
      </c>
      <c r="F52">
        <v>5</v>
      </c>
      <c r="G52">
        <v>5</v>
      </c>
      <c r="K52" s="2" t="s">
        <v>31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Z52" t="s">
        <v>31</v>
      </c>
      <c r="AA52">
        <v>4</v>
      </c>
      <c r="AB52">
        <v>5</v>
      </c>
      <c r="AC52">
        <v>5</v>
      </c>
      <c r="AD52">
        <v>5</v>
      </c>
      <c r="AE52">
        <v>5</v>
      </c>
      <c r="AF52">
        <v>5</v>
      </c>
    </row>
    <row r="53" spans="1:32" x14ac:dyDescent="0.2">
      <c r="A53" t="s">
        <v>31</v>
      </c>
      <c r="B53">
        <v>4</v>
      </c>
      <c r="C53">
        <v>4</v>
      </c>
      <c r="D53">
        <v>4</v>
      </c>
      <c r="E53">
        <v>3</v>
      </c>
      <c r="F53">
        <v>4</v>
      </c>
      <c r="G53">
        <v>4</v>
      </c>
      <c r="K53" s="2" t="s">
        <v>31</v>
      </c>
      <c r="L53" s="2">
        <v>3</v>
      </c>
      <c r="M53" s="2">
        <v>3</v>
      </c>
      <c r="N53" s="2">
        <v>3</v>
      </c>
      <c r="O53" s="2">
        <v>2</v>
      </c>
      <c r="P53" s="2">
        <v>3</v>
      </c>
      <c r="Q53" s="2">
        <v>3</v>
      </c>
      <c r="Z53" t="s">
        <v>31</v>
      </c>
      <c r="AA53">
        <v>4</v>
      </c>
      <c r="AB53">
        <v>4</v>
      </c>
      <c r="AC53">
        <v>4</v>
      </c>
      <c r="AD53">
        <v>3</v>
      </c>
      <c r="AE53">
        <v>4</v>
      </c>
      <c r="AF53">
        <v>4</v>
      </c>
    </row>
    <row r="54" spans="1:32" x14ac:dyDescent="0.2">
      <c r="A54" t="s">
        <v>31</v>
      </c>
      <c r="B54">
        <v>4</v>
      </c>
      <c r="C54">
        <v>4</v>
      </c>
      <c r="D54">
        <v>5</v>
      </c>
      <c r="E54">
        <v>4</v>
      </c>
      <c r="F54">
        <v>3</v>
      </c>
      <c r="G54">
        <v>4</v>
      </c>
      <c r="K54" s="2" t="s">
        <v>31</v>
      </c>
      <c r="L54" s="2">
        <v>3</v>
      </c>
      <c r="M54" s="2">
        <v>3</v>
      </c>
      <c r="N54" s="2">
        <v>3</v>
      </c>
      <c r="O54" s="2">
        <v>3</v>
      </c>
      <c r="P54" s="2">
        <v>2</v>
      </c>
      <c r="Q54" s="2">
        <v>3</v>
      </c>
      <c r="Z54" t="s">
        <v>31</v>
      </c>
      <c r="AA54">
        <v>4</v>
      </c>
      <c r="AB54">
        <v>4</v>
      </c>
      <c r="AC54">
        <v>5</v>
      </c>
      <c r="AD54">
        <v>4</v>
      </c>
      <c r="AE54">
        <v>3</v>
      </c>
      <c r="AF54">
        <v>4</v>
      </c>
    </row>
    <row r="55" spans="1:32" x14ac:dyDescent="0.2">
      <c r="A55" t="s">
        <v>31</v>
      </c>
      <c r="B55">
        <v>4</v>
      </c>
      <c r="C55">
        <v>4</v>
      </c>
      <c r="D55">
        <v>3</v>
      </c>
      <c r="E55">
        <v>3</v>
      </c>
      <c r="F55">
        <v>3</v>
      </c>
      <c r="G55">
        <v>4</v>
      </c>
      <c r="K55" s="2" t="s">
        <v>31</v>
      </c>
      <c r="L55" s="2">
        <v>3</v>
      </c>
      <c r="M55" s="2">
        <v>3</v>
      </c>
      <c r="N55" s="2">
        <v>2</v>
      </c>
      <c r="O55" s="2">
        <v>2</v>
      </c>
      <c r="P55" s="2">
        <v>2</v>
      </c>
      <c r="Q55" s="2">
        <v>3</v>
      </c>
      <c r="Z55" t="s">
        <v>31</v>
      </c>
      <c r="AA55">
        <v>4</v>
      </c>
      <c r="AB55">
        <v>4</v>
      </c>
      <c r="AC55">
        <v>3</v>
      </c>
      <c r="AD55">
        <v>3</v>
      </c>
      <c r="AE55">
        <v>3</v>
      </c>
      <c r="AF55">
        <v>4</v>
      </c>
    </row>
    <row r="56" spans="1:32" x14ac:dyDescent="0.2">
      <c r="A56" t="s">
        <v>31</v>
      </c>
      <c r="B56">
        <v>4</v>
      </c>
      <c r="C56">
        <v>5</v>
      </c>
      <c r="D56">
        <v>3</v>
      </c>
      <c r="E56">
        <v>3</v>
      </c>
      <c r="F56">
        <v>3</v>
      </c>
      <c r="G56">
        <v>4</v>
      </c>
      <c r="K56" s="2" t="s">
        <v>31</v>
      </c>
      <c r="L56" s="2">
        <v>3</v>
      </c>
      <c r="M56" s="2">
        <v>3</v>
      </c>
      <c r="N56" s="2">
        <v>2</v>
      </c>
      <c r="O56" s="2">
        <v>2</v>
      </c>
      <c r="P56" s="2">
        <v>2</v>
      </c>
      <c r="Q56" s="2">
        <v>3</v>
      </c>
      <c r="Z56" t="s">
        <v>31</v>
      </c>
      <c r="AA56">
        <v>4</v>
      </c>
      <c r="AB56">
        <v>5</v>
      </c>
      <c r="AC56">
        <v>3</v>
      </c>
      <c r="AD56">
        <v>3</v>
      </c>
      <c r="AE56">
        <v>3</v>
      </c>
      <c r="AF56">
        <v>4</v>
      </c>
    </row>
    <row r="57" spans="1:32" x14ac:dyDescent="0.2">
      <c r="A57" t="s">
        <v>31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K57" s="2" t="s">
        <v>31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Z57" t="s">
        <v>31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</row>
    <row r="58" spans="1:32" x14ac:dyDescent="0.2">
      <c r="A58" t="s">
        <v>31</v>
      </c>
      <c r="B58">
        <v>4</v>
      </c>
      <c r="C58">
        <v>4</v>
      </c>
      <c r="D58">
        <v>1</v>
      </c>
      <c r="E58">
        <v>5</v>
      </c>
      <c r="F58">
        <v>5</v>
      </c>
      <c r="G58">
        <v>5</v>
      </c>
      <c r="K58" s="2" t="s">
        <v>31</v>
      </c>
      <c r="L58" s="2">
        <v>3</v>
      </c>
      <c r="M58" s="2">
        <v>3</v>
      </c>
      <c r="N58" s="2">
        <v>1</v>
      </c>
      <c r="O58" s="2">
        <v>3</v>
      </c>
      <c r="P58" s="2">
        <v>3</v>
      </c>
      <c r="Q58" s="2">
        <v>3</v>
      </c>
      <c r="Z58" t="s">
        <v>31</v>
      </c>
      <c r="AA58">
        <v>4</v>
      </c>
      <c r="AB58">
        <v>4</v>
      </c>
      <c r="AC58">
        <v>1</v>
      </c>
      <c r="AD58">
        <v>5</v>
      </c>
      <c r="AE58">
        <v>5</v>
      </c>
      <c r="AF58">
        <v>5</v>
      </c>
    </row>
    <row r="59" spans="1:32" x14ac:dyDescent="0.2">
      <c r="A59" t="s">
        <v>31</v>
      </c>
      <c r="B59">
        <v>4</v>
      </c>
      <c r="C59">
        <v>3</v>
      </c>
      <c r="D59">
        <v>4</v>
      </c>
      <c r="E59">
        <v>3</v>
      </c>
      <c r="F59">
        <v>4</v>
      </c>
      <c r="G59">
        <v>3</v>
      </c>
      <c r="K59" s="2" t="s">
        <v>31</v>
      </c>
      <c r="L59" s="2">
        <v>3</v>
      </c>
      <c r="M59" s="2">
        <v>2</v>
      </c>
      <c r="N59" s="2">
        <v>3</v>
      </c>
      <c r="O59" s="2">
        <v>2</v>
      </c>
      <c r="P59" s="2">
        <v>3</v>
      </c>
      <c r="Q59" s="2">
        <v>2</v>
      </c>
      <c r="Z59" t="s">
        <v>31</v>
      </c>
      <c r="AA59">
        <v>4</v>
      </c>
      <c r="AB59">
        <v>3</v>
      </c>
      <c r="AC59">
        <v>4</v>
      </c>
      <c r="AD59">
        <v>3</v>
      </c>
      <c r="AE59">
        <v>4</v>
      </c>
      <c r="AF59">
        <v>3</v>
      </c>
    </row>
    <row r="60" spans="1:32" x14ac:dyDescent="0.2">
      <c r="A60" t="s">
        <v>31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K60" s="2" t="s">
        <v>31</v>
      </c>
      <c r="L60" s="2">
        <v>3</v>
      </c>
      <c r="M60" s="2">
        <v>3</v>
      </c>
      <c r="N60" s="2">
        <v>3</v>
      </c>
      <c r="O60" s="2">
        <v>3</v>
      </c>
      <c r="P60" s="2">
        <v>3</v>
      </c>
      <c r="Q60" s="2">
        <v>3</v>
      </c>
      <c r="Z60" t="s">
        <v>31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</row>
    <row r="61" spans="1:32" x14ac:dyDescent="0.2">
      <c r="A61" s="4" t="s">
        <v>50</v>
      </c>
      <c r="B61" s="5">
        <f>AVERAGE(B4:B60)</f>
        <v>3.9473684210526314</v>
      </c>
      <c r="C61" s="5">
        <f t="shared" ref="C61:G61" si="0">AVERAGE(C4:C60)</f>
        <v>4.0701754385964914</v>
      </c>
      <c r="D61" s="5">
        <f t="shared" si="0"/>
        <v>3.7017543859649122</v>
      </c>
      <c r="E61" s="5">
        <f t="shared" si="0"/>
        <v>3.807017543859649</v>
      </c>
      <c r="F61" s="5">
        <f t="shared" si="0"/>
        <v>3.7894736842105261</v>
      </c>
      <c r="G61" s="5">
        <f t="shared" si="0"/>
        <v>4.0350877192982457</v>
      </c>
    </row>
    <row r="62" spans="1:32" x14ac:dyDescent="0.2">
      <c r="Z62" s="2" t="s">
        <v>46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2" t="s">
        <v>39</v>
      </c>
    </row>
    <row r="63" spans="1:32" x14ac:dyDescent="0.2">
      <c r="K63" s="2"/>
      <c r="L63" s="2" t="s">
        <v>7</v>
      </c>
      <c r="M63" s="2" t="s">
        <v>8</v>
      </c>
      <c r="N63" s="2" t="s">
        <v>14</v>
      </c>
      <c r="O63" s="2" t="s">
        <v>16</v>
      </c>
      <c r="P63" s="2" t="s">
        <v>19</v>
      </c>
      <c r="Q63" s="2" t="s">
        <v>43</v>
      </c>
      <c r="AA63" t="s">
        <v>7</v>
      </c>
      <c r="AB63" t="s">
        <v>8</v>
      </c>
      <c r="AC63" t="s">
        <v>14</v>
      </c>
      <c r="AD63" t="s">
        <v>16</v>
      </c>
      <c r="AE63" t="s">
        <v>19</v>
      </c>
      <c r="AF63" t="s">
        <v>43</v>
      </c>
    </row>
    <row r="64" spans="1:32" x14ac:dyDescent="0.2">
      <c r="B64" t="s">
        <v>7</v>
      </c>
      <c r="C64" t="s">
        <v>8</v>
      </c>
      <c r="D64" t="s">
        <v>14</v>
      </c>
      <c r="E64" t="s">
        <v>16</v>
      </c>
      <c r="F64" t="s">
        <v>19</v>
      </c>
      <c r="G64" t="s">
        <v>43</v>
      </c>
      <c r="J64" s="2" t="s">
        <v>53</v>
      </c>
      <c r="Y64">
        <v>4</v>
      </c>
      <c r="Z64" t="s">
        <v>44</v>
      </c>
      <c r="AA64">
        <f>COUNTIF(AA$3:AA$59,$Y64)</f>
        <v>31</v>
      </c>
      <c r="AB64">
        <f>COUNTIF(AB$3:AB$59,$Y64)</f>
        <v>28</v>
      </c>
      <c r="AC64">
        <f t="shared" ref="AB64:AF65" si="1">COUNTIF(AC$3:AC$59,$Y64)</f>
        <v>24</v>
      </c>
      <c r="AD64">
        <f t="shared" si="1"/>
        <v>22</v>
      </c>
      <c r="AE64">
        <f t="shared" si="1"/>
        <v>31</v>
      </c>
      <c r="AF64">
        <f t="shared" si="1"/>
        <v>25</v>
      </c>
    </row>
    <row r="65" spans="1:32" x14ac:dyDescent="0.2">
      <c r="A65" s="4" t="s">
        <v>52</v>
      </c>
      <c r="B65" s="4">
        <f>AVERAGE(B16:B22,B4)</f>
        <v>4.25</v>
      </c>
      <c r="C65" s="4">
        <f t="shared" ref="C65:G65" si="2">AVERAGE(C16:C22,C4)</f>
        <v>4.5</v>
      </c>
      <c r="D65" s="4">
        <f t="shared" si="2"/>
        <v>3.5</v>
      </c>
      <c r="E65" s="4">
        <f t="shared" si="2"/>
        <v>3.75</v>
      </c>
      <c r="F65" s="4">
        <f t="shared" si="2"/>
        <v>3.5</v>
      </c>
      <c r="G65" s="4">
        <f t="shared" si="2"/>
        <v>4</v>
      </c>
      <c r="J65">
        <v>1</v>
      </c>
      <c r="K65" t="s">
        <v>54</v>
      </c>
      <c r="L65">
        <f>COUNTIF(L$4:L$60,$J65)</f>
        <v>3</v>
      </c>
      <c r="M65">
        <f t="shared" ref="M65:Q65" si="3">COUNTIF(M$4:M$60,$J65)</f>
        <v>2</v>
      </c>
      <c r="N65">
        <f t="shared" si="3"/>
        <v>4</v>
      </c>
      <c r="O65">
        <f t="shared" si="3"/>
        <v>1</v>
      </c>
      <c r="P65">
        <f t="shared" si="3"/>
        <v>1</v>
      </c>
      <c r="Q65">
        <f t="shared" si="3"/>
        <v>1</v>
      </c>
      <c r="Y65">
        <v>5</v>
      </c>
      <c r="Z65" t="s">
        <v>45</v>
      </c>
      <c r="AA65">
        <f>COUNTIF(AA$3:AA$59,$Y65)</f>
        <v>13</v>
      </c>
      <c r="AB65">
        <f t="shared" si="1"/>
        <v>17</v>
      </c>
      <c r="AC65">
        <f t="shared" si="1"/>
        <v>10</v>
      </c>
      <c r="AD65">
        <f>COUNTIF(AD$3:AD$59,$Y65)</f>
        <v>12</v>
      </c>
      <c r="AE65">
        <f t="shared" si="1"/>
        <v>7</v>
      </c>
      <c r="AF65">
        <f t="shared" si="1"/>
        <v>17</v>
      </c>
    </row>
    <row r="66" spans="1:32" x14ac:dyDescent="0.2">
      <c r="J66">
        <v>2</v>
      </c>
      <c r="K66" t="s">
        <v>55</v>
      </c>
      <c r="L66">
        <f t="shared" ref="L66:Q67" si="4">COUNTIF(L$4:L$60,$J66)</f>
        <v>9</v>
      </c>
      <c r="M66">
        <f t="shared" si="4"/>
        <v>9</v>
      </c>
      <c r="N66">
        <f t="shared" si="4"/>
        <v>18</v>
      </c>
      <c r="O66">
        <f t="shared" si="4"/>
        <v>21</v>
      </c>
      <c r="P66">
        <f t="shared" si="4"/>
        <v>17</v>
      </c>
      <c r="Q66">
        <f t="shared" si="4"/>
        <v>13</v>
      </c>
      <c r="Z66" s="9" t="s">
        <v>57</v>
      </c>
      <c r="AA66" s="9">
        <f>SUM(AA64:AA65)</f>
        <v>44</v>
      </c>
      <c r="AB66" s="9">
        <f t="shared" ref="AB66:AF66" si="5">SUM(AB64:AB65)</f>
        <v>45</v>
      </c>
      <c r="AC66" s="9">
        <f t="shared" si="5"/>
        <v>34</v>
      </c>
      <c r="AD66" s="9">
        <f t="shared" si="5"/>
        <v>34</v>
      </c>
      <c r="AE66" s="9">
        <f t="shared" si="5"/>
        <v>38</v>
      </c>
      <c r="AF66" s="9">
        <f t="shared" si="5"/>
        <v>42</v>
      </c>
    </row>
    <row r="67" spans="1:32" x14ac:dyDescent="0.2">
      <c r="B67" t="s">
        <v>7</v>
      </c>
      <c r="C67" t="s">
        <v>8</v>
      </c>
      <c r="D67" t="s">
        <v>14</v>
      </c>
      <c r="E67" t="s">
        <v>16</v>
      </c>
      <c r="F67" t="s">
        <v>19</v>
      </c>
      <c r="G67" t="s">
        <v>43</v>
      </c>
      <c r="J67">
        <v>3</v>
      </c>
      <c r="K67" t="s">
        <v>56</v>
      </c>
      <c r="L67">
        <f t="shared" si="4"/>
        <v>45</v>
      </c>
      <c r="M67">
        <f t="shared" si="4"/>
        <v>46</v>
      </c>
      <c r="N67">
        <f t="shared" si="4"/>
        <v>35</v>
      </c>
      <c r="O67">
        <f t="shared" si="4"/>
        <v>35</v>
      </c>
      <c r="P67">
        <f t="shared" si="4"/>
        <v>39</v>
      </c>
      <c r="Q67">
        <f t="shared" si="4"/>
        <v>43</v>
      </c>
      <c r="Z67" s="10" t="s">
        <v>58</v>
      </c>
      <c r="AA67" s="11">
        <f>AA66/57</f>
        <v>0.77192982456140347</v>
      </c>
      <c r="AB67" s="11">
        <f t="shared" ref="AB67:AF67" si="6">AB66/57</f>
        <v>0.78947368421052633</v>
      </c>
      <c r="AC67" s="11">
        <f t="shared" si="6"/>
        <v>0.59649122807017541</v>
      </c>
      <c r="AD67" s="11">
        <f t="shared" si="6"/>
        <v>0.59649122807017541</v>
      </c>
      <c r="AE67" s="11">
        <f t="shared" si="6"/>
        <v>0.66666666666666663</v>
      </c>
      <c r="AF67" s="11">
        <f t="shared" si="6"/>
        <v>0.73684210526315785</v>
      </c>
    </row>
    <row r="68" spans="1:32" x14ac:dyDescent="0.2">
      <c r="A68" s="4" t="s">
        <v>32</v>
      </c>
      <c r="B68" s="5">
        <f>AVERAGE(B5:B15)</f>
        <v>3.6363636363636362</v>
      </c>
      <c r="C68" s="5">
        <f t="shared" ref="C68:G68" si="7">AVERAGE(C5:C15)</f>
        <v>3.7272727272727271</v>
      </c>
      <c r="D68" s="5">
        <f t="shared" si="7"/>
        <v>3.3636363636363638</v>
      </c>
      <c r="E68" s="5">
        <f t="shared" si="7"/>
        <v>3.7272727272727271</v>
      </c>
      <c r="F68" s="5">
        <f t="shared" si="7"/>
        <v>3.7272727272727271</v>
      </c>
      <c r="G68" s="5">
        <f t="shared" si="7"/>
        <v>4.0909090909090908</v>
      </c>
      <c r="L68" s="2" t="s">
        <v>7</v>
      </c>
      <c r="M68" s="2" t="s">
        <v>8</v>
      </c>
      <c r="N68" s="2" t="s">
        <v>14</v>
      </c>
      <c r="O68" s="2" t="s">
        <v>16</v>
      </c>
      <c r="P68" s="2" t="s">
        <v>19</v>
      </c>
      <c r="Q68" s="2" t="s">
        <v>43</v>
      </c>
    </row>
    <row r="69" spans="1:32" x14ac:dyDescent="0.2">
      <c r="K69" s="3" t="s">
        <v>54</v>
      </c>
      <c r="L69" s="6">
        <f>L65/57</f>
        <v>5.2631578947368418E-2</v>
      </c>
      <c r="M69" s="6">
        <f t="shared" ref="M69:Q69" si="8">M65/57</f>
        <v>3.5087719298245612E-2</v>
      </c>
      <c r="N69" s="6">
        <f t="shared" si="8"/>
        <v>7.0175438596491224E-2</v>
      </c>
      <c r="O69" s="6">
        <f t="shared" si="8"/>
        <v>1.7543859649122806E-2</v>
      </c>
      <c r="P69" s="6">
        <f t="shared" si="8"/>
        <v>1.7543859649122806E-2</v>
      </c>
      <c r="Q69" s="6">
        <f t="shared" si="8"/>
        <v>1.7543859649122806E-2</v>
      </c>
      <c r="Z69" s="2" t="s">
        <v>33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39</v>
      </c>
    </row>
    <row r="70" spans="1:32" x14ac:dyDescent="0.2">
      <c r="B70" t="s">
        <v>7</v>
      </c>
      <c r="C70" t="s">
        <v>8</v>
      </c>
      <c r="D70" t="s">
        <v>14</v>
      </c>
      <c r="E70" t="s">
        <v>16</v>
      </c>
      <c r="F70" t="s">
        <v>19</v>
      </c>
      <c r="G70" t="s">
        <v>43</v>
      </c>
      <c r="K70" s="3" t="s">
        <v>55</v>
      </c>
      <c r="L70" s="6">
        <f t="shared" ref="L70:Q71" si="9">L66/57</f>
        <v>0.15789473684210525</v>
      </c>
      <c r="M70" s="6">
        <f t="shared" si="9"/>
        <v>0.15789473684210525</v>
      </c>
      <c r="N70" s="6">
        <f t="shared" si="9"/>
        <v>0.31578947368421051</v>
      </c>
      <c r="O70" s="6">
        <f t="shared" si="9"/>
        <v>0.36842105263157893</v>
      </c>
      <c r="P70" s="6">
        <f t="shared" si="9"/>
        <v>0.2982456140350877</v>
      </c>
      <c r="Q70" s="6">
        <f t="shared" si="9"/>
        <v>0.22807017543859648</v>
      </c>
      <c r="AA70" t="s">
        <v>7</v>
      </c>
      <c r="AB70" t="s">
        <v>8</v>
      </c>
      <c r="AC70" t="s">
        <v>14</v>
      </c>
      <c r="AD70" t="s">
        <v>16</v>
      </c>
      <c r="AE70" t="s">
        <v>19</v>
      </c>
      <c r="AF70" t="s">
        <v>43</v>
      </c>
    </row>
    <row r="71" spans="1:32" x14ac:dyDescent="0.2">
      <c r="A71" s="4" t="s">
        <v>31</v>
      </c>
      <c r="B71" s="5">
        <f>AVERAGE(B23:B60)</f>
        <v>3.9736842105263159</v>
      </c>
      <c r="C71" s="5">
        <f t="shared" ref="C71:G71" si="10">AVERAGE(C23:C60)</f>
        <v>4.0789473684210522</v>
      </c>
      <c r="D71" s="5">
        <f t="shared" si="10"/>
        <v>3.8421052631578947</v>
      </c>
      <c r="E71" s="5">
        <f t="shared" si="10"/>
        <v>3.8421052631578947</v>
      </c>
      <c r="F71" s="5">
        <f t="shared" si="10"/>
        <v>3.8684210526315788</v>
      </c>
      <c r="G71" s="5">
        <f t="shared" si="10"/>
        <v>4.0263157894736841</v>
      </c>
      <c r="K71" s="3" t="s">
        <v>56</v>
      </c>
      <c r="L71" s="6">
        <f t="shared" si="9"/>
        <v>0.78947368421052633</v>
      </c>
      <c r="M71" s="6">
        <f t="shared" si="9"/>
        <v>0.80701754385964908</v>
      </c>
      <c r="N71" s="6">
        <f t="shared" si="9"/>
        <v>0.61403508771929827</v>
      </c>
      <c r="O71" s="6">
        <f t="shared" si="9"/>
        <v>0.61403508771929827</v>
      </c>
      <c r="P71" s="6">
        <f t="shared" si="9"/>
        <v>0.68421052631578949</v>
      </c>
      <c r="Q71" s="6">
        <f t="shared" si="9"/>
        <v>0.75438596491228072</v>
      </c>
      <c r="Y71">
        <v>4</v>
      </c>
      <c r="Z71" t="s">
        <v>44</v>
      </c>
      <c r="AA71">
        <f>COUNTIFS(AA$4:AA$60,$Y71,$Z4:$Z60,$Z$69)</f>
        <v>6</v>
      </c>
      <c r="AB71">
        <f t="shared" ref="AB71:AF71" si="11">COUNTIFS(AB$4:AB$60,$Y71,$Z4:$Z60,$Z$69)</f>
        <v>4</v>
      </c>
      <c r="AC71">
        <f t="shared" si="11"/>
        <v>3</v>
      </c>
      <c r="AD71">
        <f t="shared" si="11"/>
        <v>4</v>
      </c>
      <c r="AE71">
        <f t="shared" si="11"/>
        <v>2</v>
      </c>
      <c r="AF71">
        <f t="shared" si="11"/>
        <v>4</v>
      </c>
    </row>
    <row r="72" spans="1:32" x14ac:dyDescent="0.2">
      <c r="Y72">
        <v>5</v>
      </c>
      <c r="Z72" t="s">
        <v>45</v>
      </c>
      <c r="AA72">
        <f>COUNTIFS(AA$4:AA$60,$Y72,$Z4:$Z60,$Z$69)</f>
        <v>2</v>
      </c>
      <c r="AB72">
        <f t="shared" ref="AB72:AF72" si="12">COUNTIFS(AB$4:AB$60,$Y72,$Z4:$Z60,$Z$69)</f>
        <v>4</v>
      </c>
      <c r="AC72">
        <f t="shared" si="12"/>
        <v>1</v>
      </c>
      <c r="AD72">
        <f t="shared" si="12"/>
        <v>1</v>
      </c>
      <c r="AE72">
        <f t="shared" si="12"/>
        <v>1</v>
      </c>
      <c r="AF72">
        <f t="shared" si="12"/>
        <v>2</v>
      </c>
    </row>
    <row r="73" spans="1:32" x14ac:dyDescent="0.2">
      <c r="J73" s="2" t="s">
        <v>33</v>
      </c>
      <c r="Z73" s="9" t="s">
        <v>57</v>
      </c>
      <c r="AA73" s="9">
        <f>SUM(AA71:AA72)</f>
        <v>8</v>
      </c>
      <c r="AB73" s="9">
        <f t="shared" ref="AB73" si="13">SUM(AB71:AB72)</f>
        <v>8</v>
      </c>
      <c r="AC73" s="9">
        <f t="shared" ref="AC73" si="14">SUM(AC71:AC72)</f>
        <v>4</v>
      </c>
      <c r="AD73" s="9">
        <f t="shared" ref="AD73" si="15">SUM(AD71:AD72)</f>
        <v>5</v>
      </c>
      <c r="AE73" s="9">
        <f t="shared" ref="AE73" si="16">SUM(AE71:AE72)</f>
        <v>3</v>
      </c>
      <c r="AF73" s="9">
        <f t="shared" ref="AF73" si="17">SUM(AF71:AF72)</f>
        <v>6</v>
      </c>
    </row>
    <row r="74" spans="1:32" x14ac:dyDescent="0.2">
      <c r="J74">
        <v>1</v>
      </c>
      <c r="K74" t="s">
        <v>54</v>
      </c>
      <c r="L74">
        <f>COUNTIFS(L$4:L$60,$J74,$K$4:$K$60,$J$73)</f>
        <v>0</v>
      </c>
      <c r="M74">
        <f t="shared" ref="M74:Q74" si="18">COUNTIFS(M$4:M$60,$J74,$K$4:$K$60,$J$73)</f>
        <v>0</v>
      </c>
      <c r="N74">
        <f t="shared" si="18"/>
        <v>1</v>
      </c>
      <c r="O74">
        <f t="shared" si="18"/>
        <v>0</v>
      </c>
      <c r="P74">
        <f t="shared" si="18"/>
        <v>0</v>
      </c>
      <c r="Q74">
        <f t="shared" si="18"/>
        <v>0</v>
      </c>
      <c r="Z74" s="10" t="s">
        <v>59</v>
      </c>
      <c r="AA74" s="11">
        <f>AA73/8</f>
        <v>1</v>
      </c>
      <c r="AB74" s="11">
        <f t="shared" ref="AB74:AF74" si="19">AB73/8</f>
        <v>1</v>
      </c>
      <c r="AC74" s="11">
        <f t="shared" si="19"/>
        <v>0.5</v>
      </c>
      <c r="AD74" s="11">
        <f t="shared" si="19"/>
        <v>0.625</v>
      </c>
      <c r="AE74" s="11">
        <f t="shared" si="19"/>
        <v>0.375</v>
      </c>
      <c r="AF74" s="11">
        <f t="shared" si="19"/>
        <v>0.75</v>
      </c>
    </row>
    <row r="75" spans="1:32" x14ac:dyDescent="0.2">
      <c r="A75" t="s">
        <v>52</v>
      </c>
      <c r="J75">
        <v>2</v>
      </c>
      <c r="K75" t="s">
        <v>55</v>
      </c>
      <c r="L75">
        <f t="shared" ref="L75:Q76" si="20">COUNTIFS(L$4:L$60,$J75,$K$4:$K$60,$J$73)</f>
        <v>0</v>
      </c>
      <c r="M75">
        <f t="shared" si="20"/>
        <v>0</v>
      </c>
      <c r="N75">
        <f t="shared" si="20"/>
        <v>3</v>
      </c>
      <c r="O75">
        <f t="shared" si="20"/>
        <v>3</v>
      </c>
      <c r="P75">
        <f t="shared" si="20"/>
        <v>5</v>
      </c>
      <c r="Q75">
        <f t="shared" si="20"/>
        <v>2</v>
      </c>
    </row>
    <row r="76" spans="1:32" x14ac:dyDescent="0.2">
      <c r="J76">
        <v>3</v>
      </c>
      <c r="K76" t="s">
        <v>56</v>
      </c>
      <c r="L76">
        <f t="shared" si="20"/>
        <v>8</v>
      </c>
      <c r="M76">
        <f t="shared" si="20"/>
        <v>8</v>
      </c>
      <c r="N76">
        <f t="shared" si="20"/>
        <v>4</v>
      </c>
      <c r="O76">
        <f t="shared" si="20"/>
        <v>5</v>
      </c>
      <c r="P76">
        <f t="shared" si="20"/>
        <v>3</v>
      </c>
      <c r="Q76">
        <f t="shared" si="20"/>
        <v>6</v>
      </c>
      <c r="Z76" s="2" t="s">
        <v>32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2" t="s">
        <v>39</v>
      </c>
    </row>
    <row r="77" spans="1:32" x14ac:dyDescent="0.2">
      <c r="L77" s="2" t="s">
        <v>7</v>
      </c>
      <c r="M77" s="2" t="s">
        <v>8</v>
      </c>
      <c r="N77" s="2" t="s">
        <v>14</v>
      </c>
      <c r="O77" s="2" t="s">
        <v>16</v>
      </c>
      <c r="P77" s="2" t="s">
        <v>19</v>
      </c>
      <c r="Q77" s="2" t="s">
        <v>43</v>
      </c>
      <c r="AA77" t="s">
        <v>7</v>
      </c>
      <c r="AB77" t="s">
        <v>8</v>
      </c>
      <c r="AC77" t="s">
        <v>14</v>
      </c>
      <c r="AD77" t="s">
        <v>16</v>
      </c>
      <c r="AE77" t="s">
        <v>19</v>
      </c>
      <c r="AF77" t="s">
        <v>43</v>
      </c>
    </row>
    <row r="78" spans="1:32" x14ac:dyDescent="0.2">
      <c r="K78" s="3" t="s">
        <v>54</v>
      </c>
      <c r="L78" s="6">
        <f>L74/8</f>
        <v>0</v>
      </c>
      <c r="M78" s="6">
        <f t="shared" ref="M78:Q78" si="21">M74/8</f>
        <v>0</v>
      </c>
      <c r="N78" s="6">
        <f t="shared" si="21"/>
        <v>0.125</v>
      </c>
      <c r="O78" s="6">
        <f t="shared" si="21"/>
        <v>0</v>
      </c>
      <c r="P78" s="6">
        <f t="shared" si="21"/>
        <v>0</v>
      </c>
      <c r="Q78" s="6">
        <f t="shared" si="21"/>
        <v>0</v>
      </c>
      <c r="Y78">
        <v>4</v>
      </c>
      <c r="Z78" t="s">
        <v>44</v>
      </c>
      <c r="AA78">
        <f>COUNTIFS(AA$4:AA$60,$Y78,$Z4:$Z60,$Z$76)</f>
        <v>7</v>
      </c>
      <c r="AB78">
        <f t="shared" ref="AB78:AF78" si="22">COUNTIFS(AB$4:AB$60,$Y78,$Z4:$Z60,$Z$76)</f>
        <v>5</v>
      </c>
      <c r="AC78">
        <f t="shared" si="22"/>
        <v>5</v>
      </c>
      <c r="AD78">
        <f t="shared" si="22"/>
        <v>8</v>
      </c>
      <c r="AE78">
        <f t="shared" si="22"/>
        <v>6</v>
      </c>
      <c r="AF78">
        <f t="shared" si="22"/>
        <v>4</v>
      </c>
    </row>
    <row r="79" spans="1:32" x14ac:dyDescent="0.2">
      <c r="K79" s="3" t="s">
        <v>55</v>
      </c>
      <c r="L79" s="6">
        <f t="shared" ref="L79:Q80" si="23">L75/8</f>
        <v>0</v>
      </c>
      <c r="M79" s="6">
        <f t="shared" si="23"/>
        <v>0</v>
      </c>
      <c r="N79" s="6">
        <f t="shared" si="23"/>
        <v>0.375</v>
      </c>
      <c r="O79" s="6">
        <f t="shared" si="23"/>
        <v>0.375</v>
      </c>
      <c r="P79" s="6">
        <f t="shared" si="23"/>
        <v>0.625</v>
      </c>
      <c r="Q79" s="6">
        <f t="shared" si="23"/>
        <v>0.25</v>
      </c>
      <c r="Y79">
        <v>5</v>
      </c>
      <c r="Z79" t="s">
        <v>45</v>
      </c>
      <c r="AA79">
        <f>COUNTIFS(AA$4:AA$60,$Y79,$Z4:$Z60,$Z$76)</f>
        <v>1</v>
      </c>
      <c r="AB79">
        <f t="shared" ref="AB79:AF79" si="24">COUNTIFS(AB$4:AB$60,$Y79,$Z4:$Z60,$Z$76)</f>
        <v>2</v>
      </c>
      <c r="AC79">
        <f t="shared" si="24"/>
        <v>0</v>
      </c>
      <c r="AD79">
        <f t="shared" si="24"/>
        <v>0</v>
      </c>
      <c r="AE79">
        <f t="shared" si="24"/>
        <v>1</v>
      </c>
      <c r="AF79">
        <f t="shared" si="24"/>
        <v>4</v>
      </c>
    </row>
    <row r="80" spans="1:32" x14ac:dyDescent="0.2">
      <c r="K80" s="3" t="s">
        <v>56</v>
      </c>
      <c r="L80" s="6">
        <f t="shared" si="23"/>
        <v>1</v>
      </c>
      <c r="M80" s="6">
        <f t="shared" si="23"/>
        <v>1</v>
      </c>
      <c r="N80" s="6">
        <f t="shared" si="23"/>
        <v>0.5</v>
      </c>
      <c r="O80" s="6">
        <f t="shared" si="23"/>
        <v>0.625</v>
      </c>
      <c r="P80" s="6">
        <f t="shared" si="23"/>
        <v>0.375</v>
      </c>
      <c r="Q80" s="6">
        <f t="shared" si="23"/>
        <v>0.75</v>
      </c>
      <c r="Z80" s="9" t="s">
        <v>57</v>
      </c>
      <c r="AA80" s="9">
        <f>SUM(AA78:AA79)</f>
        <v>8</v>
      </c>
      <c r="AB80" s="9">
        <f t="shared" ref="AB80" si="25">SUM(AB78:AB79)</f>
        <v>7</v>
      </c>
      <c r="AC80" s="9">
        <f t="shared" ref="AC80" si="26">SUM(AC78:AC79)</f>
        <v>5</v>
      </c>
      <c r="AD80" s="9">
        <f t="shared" ref="AD80" si="27">SUM(AD78:AD79)</f>
        <v>8</v>
      </c>
      <c r="AE80" s="9">
        <f t="shared" ref="AE80" si="28">SUM(AE78:AE79)</f>
        <v>7</v>
      </c>
      <c r="AF80" s="9">
        <f t="shared" ref="AF80" si="29">SUM(AF78:AF79)</f>
        <v>8</v>
      </c>
    </row>
    <row r="81" spans="1:32" x14ac:dyDescent="0.2">
      <c r="Z81" s="10" t="s">
        <v>60</v>
      </c>
      <c r="AA81" s="11">
        <f>AA80/11</f>
        <v>0.72727272727272729</v>
      </c>
      <c r="AB81" s="11">
        <f t="shared" ref="AB81:AF81" si="30">AB80/11</f>
        <v>0.63636363636363635</v>
      </c>
      <c r="AC81" s="11">
        <f t="shared" si="30"/>
        <v>0.45454545454545453</v>
      </c>
      <c r="AD81" s="11">
        <f t="shared" si="30"/>
        <v>0.72727272727272729</v>
      </c>
      <c r="AE81" s="11">
        <f t="shared" si="30"/>
        <v>0.63636363636363635</v>
      </c>
      <c r="AF81" s="11">
        <f t="shared" si="30"/>
        <v>0.72727272727272729</v>
      </c>
    </row>
    <row r="82" spans="1:32" x14ac:dyDescent="0.2">
      <c r="J82" s="2" t="s">
        <v>32</v>
      </c>
    </row>
    <row r="83" spans="1:32" x14ac:dyDescent="0.2">
      <c r="J83">
        <v>1</v>
      </c>
      <c r="K83" t="s">
        <v>54</v>
      </c>
      <c r="L83">
        <f t="shared" ref="L83:Q85" si="31">COUNTIFS(L$4:L$60,$J83,$K$4:$K$60,$J$82)</f>
        <v>1</v>
      </c>
      <c r="M83">
        <f t="shared" si="31"/>
        <v>1</v>
      </c>
      <c r="N83">
        <f t="shared" si="31"/>
        <v>1</v>
      </c>
      <c r="O83">
        <f t="shared" si="31"/>
        <v>0</v>
      </c>
      <c r="P83">
        <f t="shared" si="31"/>
        <v>0</v>
      </c>
      <c r="Q83">
        <f t="shared" si="31"/>
        <v>0</v>
      </c>
      <c r="Z83" s="2" t="s">
        <v>31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2" t="s">
        <v>39</v>
      </c>
    </row>
    <row r="84" spans="1:32" x14ac:dyDescent="0.2">
      <c r="J84">
        <v>2</v>
      </c>
      <c r="K84" t="s">
        <v>55</v>
      </c>
      <c r="L84">
        <f t="shared" si="31"/>
        <v>2</v>
      </c>
      <c r="M84">
        <f t="shared" si="31"/>
        <v>3</v>
      </c>
      <c r="N84">
        <f t="shared" si="31"/>
        <v>5</v>
      </c>
      <c r="O84">
        <f t="shared" si="31"/>
        <v>3</v>
      </c>
      <c r="P84">
        <f t="shared" si="31"/>
        <v>4</v>
      </c>
      <c r="Q84">
        <f t="shared" si="31"/>
        <v>3</v>
      </c>
      <c r="AA84" t="s">
        <v>7</v>
      </c>
      <c r="AB84" t="s">
        <v>8</v>
      </c>
      <c r="AC84" t="s">
        <v>14</v>
      </c>
      <c r="AD84" t="s">
        <v>16</v>
      </c>
      <c r="AE84" t="s">
        <v>19</v>
      </c>
      <c r="AF84" t="s">
        <v>43</v>
      </c>
    </row>
    <row r="85" spans="1:32" x14ac:dyDescent="0.2">
      <c r="J85">
        <v>3</v>
      </c>
      <c r="K85" t="s">
        <v>56</v>
      </c>
      <c r="L85">
        <f t="shared" si="31"/>
        <v>8</v>
      </c>
      <c r="M85">
        <f t="shared" si="31"/>
        <v>7</v>
      </c>
      <c r="N85">
        <f t="shared" si="31"/>
        <v>5</v>
      </c>
      <c r="O85">
        <f t="shared" si="31"/>
        <v>8</v>
      </c>
      <c r="P85">
        <f t="shared" si="31"/>
        <v>7</v>
      </c>
      <c r="Q85">
        <f t="shared" si="31"/>
        <v>8</v>
      </c>
      <c r="Y85">
        <v>4</v>
      </c>
      <c r="Z85" t="s">
        <v>44</v>
      </c>
      <c r="AA85">
        <f>COUNTIFS(AA$4:AA$60,$Y85,$Z4:$Z60,$Z$83)</f>
        <v>19</v>
      </c>
      <c r="AB85">
        <f t="shared" ref="AB85:AF85" si="32">COUNTIFS(AB$4:AB$60,$Y85,$Z4:$Z60,$Z$83)</f>
        <v>20</v>
      </c>
      <c r="AC85">
        <f t="shared" si="32"/>
        <v>17</v>
      </c>
      <c r="AD85">
        <f t="shared" si="32"/>
        <v>11</v>
      </c>
      <c r="AE85">
        <f t="shared" si="32"/>
        <v>24</v>
      </c>
      <c r="AF85">
        <f t="shared" si="32"/>
        <v>18</v>
      </c>
    </row>
    <row r="86" spans="1:32" x14ac:dyDescent="0.2">
      <c r="L86" s="2" t="s">
        <v>7</v>
      </c>
      <c r="M86" s="2" t="s">
        <v>8</v>
      </c>
      <c r="N86" s="2" t="s">
        <v>14</v>
      </c>
      <c r="O86" s="2" t="s">
        <v>16</v>
      </c>
      <c r="P86" s="2" t="s">
        <v>19</v>
      </c>
      <c r="Q86" s="2" t="s">
        <v>43</v>
      </c>
      <c r="Y86">
        <v>5</v>
      </c>
      <c r="Z86" t="s">
        <v>45</v>
      </c>
      <c r="AA86">
        <f>COUNTIFS(AA$4:AA$60,$Y86,$Z4:$Z60,$Z$83)</f>
        <v>10</v>
      </c>
      <c r="AB86">
        <f t="shared" ref="AB86:AF86" si="33">COUNTIFS(AB$4:AB$60,$Y86,$Z4:$Z60,$Z$83)</f>
        <v>11</v>
      </c>
      <c r="AC86">
        <f t="shared" si="33"/>
        <v>9</v>
      </c>
      <c r="AD86">
        <f t="shared" si="33"/>
        <v>11</v>
      </c>
      <c r="AE86">
        <f t="shared" si="33"/>
        <v>5</v>
      </c>
      <c r="AF86">
        <f t="shared" si="33"/>
        <v>11</v>
      </c>
    </row>
    <row r="87" spans="1:32" x14ac:dyDescent="0.2">
      <c r="K87" s="3" t="s">
        <v>54</v>
      </c>
      <c r="L87" s="6">
        <f>L83/11</f>
        <v>9.0909090909090912E-2</v>
      </c>
      <c r="M87" s="6">
        <f t="shared" ref="M87:Q87" si="34">M83/11</f>
        <v>9.0909090909090912E-2</v>
      </c>
      <c r="N87" s="6">
        <f t="shared" si="34"/>
        <v>9.0909090909090912E-2</v>
      </c>
      <c r="O87" s="6">
        <f t="shared" si="34"/>
        <v>0</v>
      </c>
      <c r="P87" s="6">
        <f t="shared" si="34"/>
        <v>0</v>
      </c>
      <c r="Q87" s="6">
        <f t="shared" si="34"/>
        <v>0</v>
      </c>
      <c r="Z87" s="9" t="s">
        <v>57</v>
      </c>
      <c r="AA87" s="9">
        <f>SUM(AA85:AA86)</f>
        <v>29</v>
      </c>
      <c r="AB87" s="9">
        <f t="shared" ref="AB87" si="35">SUM(AB85:AB86)</f>
        <v>31</v>
      </c>
      <c r="AC87" s="9">
        <f t="shared" ref="AC87" si="36">SUM(AC85:AC86)</f>
        <v>26</v>
      </c>
      <c r="AD87" s="9">
        <f t="shared" ref="AD87" si="37">SUM(AD85:AD86)</f>
        <v>22</v>
      </c>
      <c r="AE87" s="9">
        <f t="shared" ref="AE87" si="38">SUM(AE85:AE86)</f>
        <v>29</v>
      </c>
      <c r="AF87" s="9">
        <f t="shared" ref="AF87" si="39">SUM(AF85:AF86)</f>
        <v>29</v>
      </c>
    </row>
    <row r="88" spans="1:32" x14ac:dyDescent="0.2">
      <c r="K88" s="3" t="s">
        <v>55</v>
      </c>
      <c r="L88" s="6">
        <f t="shared" ref="L88:Q89" si="40">L84/11</f>
        <v>0.18181818181818182</v>
      </c>
      <c r="M88" s="6">
        <f t="shared" si="40"/>
        <v>0.27272727272727271</v>
      </c>
      <c r="N88" s="6">
        <f t="shared" si="40"/>
        <v>0.45454545454545453</v>
      </c>
      <c r="O88" s="6">
        <f t="shared" si="40"/>
        <v>0.27272727272727271</v>
      </c>
      <c r="P88" s="6">
        <f t="shared" si="40"/>
        <v>0.36363636363636365</v>
      </c>
      <c r="Q88" s="6">
        <f t="shared" si="40"/>
        <v>0.27272727272727271</v>
      </c>
      <c r="Z88" s="10" t="s">
        <v>61</v>
      </c>
      <c r="AA88" s="11">
        <f>AA87/38</f>
        <v>0.76315789473684215</v>
      </c>
      <c r="AB88" s="11">
        <f t="shared" ref="AB88:AF88" si="41">AB87/38</f>
        <v>0.81578947368421051</v>
      </c>
      <c r="AC88" s="11">
        <f t="shared" si="41"/>
        <v>0.68421052631578949</v>
      </c>
      <c r="AD88" s="11">
        <f t="shared" si="41"/>
        <v>0.57894736842105265</v>
      </c>
      <c r="AE88" s="11">
        <f t="shared" si="41"/>
        <v>0.76315789473684215</v>
      </c>
      <c r="AF88" s="11">
        <f t="shared" si="41"/>
        <v>0.76315789473684215</v>
      </c>
    </row>
    <row r="89" spans="1:32" x14ac:dyDescent="0.2">
      <c r="A89" t="s">
        <v>32</v>
      </c>
      <c r="K89" s="3" t="s">
        <v>56</v>
      </c>
      <c r="L89" s="6">
        <f t="shared" si="40"/>
        <v>0.72727272727272729</v>
      </c>
      <c r="M89" s="6">
        <f t="shared" si="40"/>
        <v>0.63636363636363635</v>
      </c>
      <c r="N89" s="6">
        <f t="shared" si="40"/>
        <v>0.45454545454545453</v>
      </c>
      <c r="O89" s="6">
        <f t="shared" si="40"/>
        <v>0.72727272727272729</v>
      </c>
      <c r="P89" s="6">
        <f t="shared" si="40"/>
        <v>0.63636363636363635</v>
      </c>
      <c r="Q89" s="6">
        <f t="shared" si="40"/>
        <v>0.72727272727272729</v>
      </c>
    </row>
    <row r="91" spans="1:32" x14ac:dyDescent="0.2">
      <c r="J91" s="2" t="s">
        <v>31</v>
      </c>
    </row>
    <row r="92" spans="1:32" x14ac:dyDescent="0.2">
      <c r="J92">
        <v>1</v>
      </c>
      <c r="K92" t="s">
        <v>54</v>
      </c>
      <c r="L92">
        <f>COUNTIFS(L$4:L$60,$J92,$K$4:$K$60,$J$91)</f>
        <v>2</v>
      </c>
      <c r="M92">
        <f t="shared" ref="M92:Q92" si="42">COUNTIFS(M$4:M$60,$J92,$K$4:$K$60,$J$91)</f>
        <v>1</v>
      </c>
      <c r="N92">
        <f t="shared" si="42"/>
        <v>2</v>
      </c>
      <c r="O92">
        <f t="shared" si="42"/>
        <v>1</v>
      </c>
      <c r="P92">
        <f t="shared" si="42"/>
        <v>1</v>
      </c>
      <c r="Q92">
        <f t="shared" si="42"/>
        <v>1</v>
      </c>
    </row>
    <row r="93" spans="1:32" x14ac:dyDescent="0.2">
      <c r="J93">
        <v>2</v>
      </c>
      <c r="K93" t="s">
        <v>55</v>
      </c>
      <c r="L93">
        <f t="shared" ref="L93:Q94" si="43">COUNTIFS(L$4:L$60,$J93,$K$4:$K$60,$J$91)</f>
        <v>7</v>
      </c>
      <c r="M93">
        <f t="shared" si="43"/>
        <v>6</v>
      </c>
      <c r="N93">
        <f t="shared" si="43"/>
        <v>10</v>
      </c>
      <c r="O93">
        <f t="shared" si="43"/>
        <v>15</v>
      </c>
      <c r="P93">
        <f t="shared" si="43"/>
        <v>8</v>
      </c>
      <c r="Q93">
        <f t="shared" si="43"/>
        <v>8</v>
      </c>
    </row>
    <row r="94" spans="1:32" x14ac:dyDescent="0.2">
      <c r="J94">
        <v>3</v>
      </c>
      <c r="K94" t="s">
        <v>56</v>
      </c>
      <c r="L94">
        <f t="shared" si="43"/>
        <v>29</v>
      </c>
      <c r="M94">
        <f t="shared" si="43"/>
        <v>31</v>
      </c>
      <c r="N94">
        <f t="shared" si="43"/>
        <v>26</v>
      </c>
      <c r="O94">
        <f t="shared" si="43"/>
        <v>22</v>
      </c>
      <c r="P94">
        <f t="shared" si="43"/>
        <v>29</v>
      </c>
      <c r="Q94">
        <f t="shared" si="43"/>
        <v>29</v>
      </c>
    </row>
    <row r="95" spans="1:32" x14ac:dyDescent="0.2">
      <c r="L95" s="2" t="s">
        <v>7</v>
      </c>
      <c r="M95" s="2" t="s">
        <v>8</v>
      </c>
      <c r="N95" s="2" t="s">
        <v>14</v>
      </c>
      <c r="O95" s="2" t="s">
        <v>16</v>
      </c>
      <c r="P95" s="2" t="s">
        <v>19</v>
      </c>
      <c r="Q95" s="2" t="s">
        <v>43</v>
      </c>
    </row>
    <row r="96" spans="1:32" x14ac:dyDescent="0.2">
      <c r="K96" s="3" t="s">
        <v>54</v>
      </c>
      <c r="L96" s="6">
        <f>L92/38</f>
        <v>5.2631578947368418E-2</v>
      </c>
      <c r="M96" s="6">
        <f t="shared" ref="M96:Q96" si="44">M92/38</f>
        <v>2.6315789473684209E-2</v>
      </c>
      <c r="N96" s="6">
        <f t="shared" si="44"/>
        <v>5.2631578947368418E-2</v>
      </c>
      <c r="O96" s="6">
        <f t="shared" si="44"/>
        <v>2.6315789473684209E-2</v>
      </c>
      <c r="P96" s="6">
        <f t="shared" si="44"/>
        <v>2.6315789473684209E-2</v>
      </c>
      <c r="Q96" s="6">
        <f t="shared" si="44"/>
        <v>2.6315789473684209E-2</v>
      </c>
    </row>
    <row r="97" spans="1:17" x14ac:dyDescent="0.2">
      <c r="K97" s="3" t="s">
        <v>55</v>
      </c>
      <c r="L97" s="6">
        <f t="shared" ref="L97:Q98" si="45">L93/38</f>
        <v>0.18421052631578946</v>
      </c>
      <c r="M97" s="6">
        <f t="shared" si="45"/>
        <v>0.15789473684210525</v>
      </c>
      <c r="N97" s="6">
        <f t="shared" si="45"/>
        <v>0.26315789473684209</v>
      </c>
      <c r="O97" s="6">
        <f t="shared" si="45"/>
        <v>0.39473684210526316</v>
      </c>
      <c r="P97" s="6">
        <f t="shared" si="45"/>
        <v>0.21052631578947367</v>
      </c>
      <c r="Q97" s="6">
        <f t="shared" si="45"/>
        <v>0.21052631578947367</v>
      </c>
    </row>
    <row r="98" spans="1:17" x14ac:dyDescent="0.2">
      <c r="K98" s="3" t="s">
        <v>56</v>
      </c>
      <c r="L98" s="6">
        <f t="shared" si="45"/>
        <v>0.76315789473684215</v>
      </c>
      <c r="M98" s="6">
        <f t="shared" si="45"/>
        <v>0.81578947368421051</v>
      </c>
      <c r="N98" s="6">
        <f t="shared" si="45"/>
        <v>0.68421052631578949</v>
      </c>
      <c r="O98" s="6">
        <f t="shared" si="45"/>
        <v>0.57894736842105265</v>
      </c>
      <c r="P98" s="6">
        <f t="shared" si="45"/>
        <v>0.76315789473684215</v>
      </c>
      <c r="Q98" s="6">
        <f t="shared" si="45"/>
        <v>0.76315789473684215</v>
      </c>
    </row>
    <row r="103" spans="1:17" x14ac:dyDescent="0.2">
      <c r="A103" t="s">
        <v>31</v>
      </c>
    </row>
    <row r="114" spans="1:19" x14ac:dyDescent="0.2">
      <c r="J114" s="22" t="s">
        <v>62</v>
      </c>
      <c r="K114" s="22"/>
      <c r="L114" s="22" t="s">
        <v>7</v>
      </c>
      <c r="M114" s="22" t="s">
        <v>8</v>
      </c>
      <c r="N114" s="22" t="s">
        <v>14</v>
      </c>
      <c r="O114" s="22" t="s">
        <v>16</v>
      </c>
      <c r="P114" s="22" t="s">
        <v>19</v>
      </c>
      <c r="Q114" s="22" t="s">
        <v>43</v>
      </c>
    </row>
    <row r="115" spans="1:19" x14ac:dyDescent="0.2">
      <c r="J115" s="22" t="s">
        <v>52</v>
      </c>
      <c r="K115" s="22" t="s">
        <v>54</v>
      </c>
      <c r="L115" s="23">
        <v>0</v>
      </c>
      <c r="M115" s="23">
        <v>0</v>
      </c>
      <c r="N115" s="23">
        <v>0.125</v>
      </c>
      <c r="O115" s="23">
        <v>0</v>
      </c>
      <c r="P115" s="23">
        <v>0</v>
      </c>
      <c r="Q115" s="23">
        <v>0</v>
      </c>
      <c r="S115" s="15"/>
    </row>
    <row r="116" spans="1:19" x14ac:dyDescent="0.2">
      <c r="J116" s="22" t="s">
        <v>52</v>
      </c>
      <c r="K116" s="22" t="s">
        <v>55</v>
      </c>
      <c r="L116" s="23">
        <v>0</v>
      </c>
      <c r="M116" s="23">
        <v>0</v>
      </c>
      <c r="N116" s="23">
        <v>0.375</v>
      </c>
      <c r="O116" s="23">
        <v>0.375</v>
      </c>
      <c r="P116" s="23">
        <v>0.625</v>
      </c>
      <c r="Q116" s="23">
        <v>0.25</v>
      </c>
      <c r="S116" s="15"/>
    </row>
    <row r="117" spans="1:19" x14ac:dyDescent="0.2">
      <c r="A117" t="s">
        <v>46</v>
      </c>
      <c r="J117" s="22" t="s">
        <v>52</v>
      </c>
      <c r="K117" s="22" t="s">
        <v>56</v>
      </c>
      <c r="L117" s="23">
        <v>1</v>
      </c>
      <c r="M117" s="23">
        <v>1</v>
      </c>
      <c r="N117" s="23">
        <v>0.5</v>
      </c>
      <c r="O117" s="23">
        <v>0.625</v>
      </c>
      <c r="P117" s="23">
        <v>0.375</v>
      </c>
      <c r="Q117" s="23">
        <v>0.75</v>
      </c>
      <c r="S117" s="15"/>
    </row>
    <row r="118" spans="1:19" x14ac:dyDescent="0.2">
      <c r="J118" s="22"/>
      <c r="K118" s="22"/>
      <c r="L118" s="24">
        <f>SUM(L115:L117)</f>
        <v>1</v>
      </c>
      <c r="M118" s="24">
        <f t="shared" ref="M118:Q118" si="46">SUM(M115:M117)</f>
        <v>1</v>
      </c>
      <c r="N118" s="24">
        <f t="shared" si="46"/>
        <v>1</v>
      </c>
      <c r="O118" s="24">
        <f t="shared" si="46"/>
        <v>1</v>
      </c>
      <c r="P118" s="24">
        <f t="shared" si="46"/>
        <v>1</v>
      </c>
      <c r="Q118" s="24">
        <f t="shared" si="46"/>
        <v>1</v>
      </c>
    </row>
    <row r="119" spans="1:19" x14ac:dyDescent="0.2">
      <c r="J119" s="22"/>
      <c r="K119" s="22"/>
      <c r="L119" s="22"/>
      <c r="M119" s="22"/>
      <c r="N119" s="22"/>
      <c r="O119" s="22"/>
      <c r="P119" s="22"/>
      <c r="Q119" s="22"/>
    </row>
    <row r="120" spans="1:19" x14ac:dyDescent="0.2">
      <c r="J120" s="22" t="s">
        <v>62</v>
      </c>
      <c r="K120" s="22"/>
      <c r="L120" s="22" t="s">
        <v>7</v>
      </c>
      <c r="M120" s="22" t="s">
        <v>8</v>
      </c>
      <c r="N120" s="22" t="s">
        <v>14</v>
      </c>
      <c r="O120" s="22" t="s">
        <v>16</v>
      </c>
      <c r="P120" s="22" t="s">
        <v>19</v>
      </c>
      <c r="Q120" s="22" t="s">
        <v>43</v>
      </c>
    </row>
    <row r="121" spans="1:19" x14ac:dyDescent="0.2">
      <c r="J121" s="22" t="s">
        <v>32</v>
      </c>
      <c r="K121" s="22" t="s">
        <v>54</v>
      </c>
      <c r="L121" s="23">
        <v>9.0909090909090912E-2</v>
      </c>
      <c r="M121" s="23">
        <v>9.0909090909090912E-2</v>
      </c>
      <c r="N121" s="23">
        <v>9.0909090909090912E-2</v>
      </c>
      <c r="O121" s="23">
        <v>0</v>
      </c>
      <c r="P121" s="23">
        <v>0</v>
      </c>
      <c r="Q121" s="23">
        <v>0</v>
      </c>
    </row>
    <row r="122" spans="1:19" x14ac:dyDescent="0.2">
      <c r="J122" s="22" t="s">
        <v>32</v>
      </c>
      <c r="K122" s="22" t="s">
        <v>55</v>
      </c>
      <c r="L122" s="23">
        <v>0.18181818181818182</v>
      </c>
      <c r="M122" s="23">
        <v>0.27272727272727271</v>
      </c>
      <c r="N122" s="23">
        <v>0.45454545454545453</v>
      </c>
      <c r="O122" s="23">
        <v>0.27272727272727271</v>
      </c>
      <c r="P122" s="23">
        <v>0.36363636363636365</v>
      </c>
      <c r="Q122" s="23">
        <v>0.27272727272727271</v>
      </c>
    </row>
    <row r="123" spans="1:19" x14ac:dyDescent="0.2">
      <c r="J123" s="22" t="s">
        <v>32</v>
      </c>
      <c r="K123" s="22" t="s">
        <v>56</v>
      </c>
      <c r="L123" s="23">
        <v>0.72727272727272729</v>
      </c>
      <c r="M123" s="23">
        <v>0.63636363636363635</v>
      </c>
      <c r="N123" s="23">
        <v>0.45454545454545453</v>
      </c>
      <c r="O123" s="23">
        <v>0.72727272727272729</v>
      </c>
      <c r="P123" s="23">
        <v>0.63636363636363635</v>
      </c>
      <c r="Q123" s="23">
        <v>0.72727272727272729</v>
      </c>
    </row>
    <row r="124" spans="1:19" x14ac:dyDescent="0.2">
      <c r="J124" s="22"/>
      <c r="K124" s="22"/>
      <c r="L124" s="24">
        <f>SUM(L121:L123)</f>
        <v>1</v>
      </c>
      <c r="M124" s="24">
        <f t="shared" ref="M124" si="47">SUM(M121:M123)</f>
        <v>1</v>
      </c>
      <c r="N124" s="24">
        <f t="shared" ref="N124" si="48">SUM(N121:N123)</f>
        <v>1</v>
      </c>
      <c r="O124" s="24">
        <f t="shared" ref="O124" si="49">SUM(O121:O123)</f>
        <v>1</v>
      </c>
      <c r="P124" s="24">
        <f t="shared" ref="P124" si="50">SUM(P121:P123)</f>
        <v>1</v>
      </c>
      <c r="Q124" s="24">
        <f t="shared" ref="Q124" si="51">SUM(Q121:Q123)</f>
        <v>1</v>
      </c>
    </row>
    <row r="125" spans="1:19" x14ac:dyDescent="0.2">
      <c r="J125" s="22"/>
      <c r="K125" s="22"/>
      <c r="L125" s="22"/>
      <c r="M125" s="22"/>
      <c r="N125" s="22"/>
      <c r="O125" s="22"/>
      <c r="P125" s="22"/>
      <c r="Q125" s="22"/>
    </row>
    <row r="126" spans="1:19" x14ac:dyDescent="0.2">
      <c r="J126" s="22" t="s">
        <v>62</v>
      </c>
      <c r="K126" s="22"/>
      <c r="L126" s="22" t="s">
        <v>7</v>
      </c>
      <c r="M126" s="22" t="s">
        <v>8</v>
      </c>
      <c r="N126" s="22" t="s">
        <v>14</v>
      </c>
      <c r="O126" s="22" t="s">
        <v>16</v>
      </c>
      <c r="P126" s="22" t="s">
        <v>19</v>
      </c>
      <c r="Q126" s="22" t="s">
        <v>43</v>
      </c>
    </row>
    <row r="127" spans="1:19" x14ac:dyDescent="0.2">
      <c r="J127" s="22" t="s">
        <v>31</v>
      </c>
      <c r="K127" s="22" t="s">
        <v>54</v>
      </c>
      <c r="L127" s="23">
        <v>5.2631578947368418E-2</v>
      </c>
      <c r="M127" s="23">
        <v>2.6315789473684209E-2</v>
      </c>
      <c r="N127" s="23">
        <v>5.2631578947368418E-2</v>
      </c>
      <c r="O127" s="23">
        <v>2.6315789473684209E-2</v>
      </c>
      <c r="P127" s="23">
        <v>2.6315789473684209E-2</v>
      </c>
      <c r="Q127" s="23">
        <v>2.6315789473684209E-2</v>
      </c>
    </row>
    <row r="128" spans="1:19" x14ac:dyDescent="0.2">
      <c r="J128" s="22" t="s">
        <v>31</v>
      </c>
      <c r="K128" s="22" t="s">
        <v>55</v>
      </c>
      <c r="L128" s="23">
        <v>0.18421052631578946</v>
      </c>
      <c r="M128" s="23">
        <v>0.15789473684210525</v>
      </c>
      <c r="N128" s="23">
        <v>0.26315789473684209</v>
      </c>
      <c r="O128" s="23">
        <v>0.39473684210526316</v>
      </c>
      <c r="P128" s="23">
        <v>0.21052631578947367</v>
      </c>
      <c r="Q128" s="23">
        <v>0.21052631578947367</v>
      </c>
    </row>
    <row r="129" spans="10:17" x14ac:dyDescent="0.2">
      <c r="J129" s="22" t="s">
        <v>31</v>
      </c>
      <c r="K129" s="22" t="s">
        <v>56</v>
      </c>
      <c r="L129" s="23">
        <v>0.76315789473684215</v>
      </c>
      <c r="M129" s="23">
        <v>0.81578947368421051</v>
      </c>
      <c r="N129" s="23">
        <v>0.68421052631578949</v>
      </c>
      <c r="O129" s="23">
        <v>0.57894736842105265</v>
      </c>
      <c r="P129" s="23">
        <v>0.76315789473684215</v>
      </c>
      <c r="Q129" s="23">
        <v>0.76315789473684215</v>
      </c>
    </row>
    <row r="130" spans="10:17" x14ac:dyDescent="0.2">
      <c r="L130" s="24">
        <f>SUM(L127:L129)</f>
        <v>1</v>
      </c>
      <c r="M130" s="24">
        <f t="shared" ref="M130" si="52">SUM(M127:M129)</f>
        <v>1</v>
      </c>
      <c r="N130" s="24">
        <f t="shared" ref="N130" si="53">SUM(N127:N129)</f>
        <v>1</v>
      </c>
      <c r="O130" s="24">
        <f t="shared" ref="O130" si="54">SUM(O127:O129)</f>
        <v>1</v>
      </c>
      <c r="P130" s="24">
        <f t="shared" ref="P130" si="55">SUM(P127:P129)</f>
        <v>1</v>
      </c>
      <c r="Q130" s="24">
        <f t="shared" ref="Q130" si="56">SUM(Q127:Q129)</f>
        <v>1</v>
      </c>
    </row>
    <row r="133" spans="10:17" x14ac:dyDescent="0.2">
      <c r="J133" s="16" t="s">
        <v>62</v>
      </c>
      <c r="K133" s="7" t="s">
        <v>7</v>
      </c>
      <c r="L133" s="18" t="s">
        <v>54</v>
      </c>
      <c r="M133" s="18" t="s">
        <v>55</v>
      </c>
      <c r="N133" s="18" t="s">
        <v>56</v>
      </c>
      <c r="P133" s="18" t="s">
        <v>63</v>
      </c>
      <c r="Q133" s="25"/>
    </row>
    <row r="134" spans="10:17" x14ac:dyDescent="0.2">
      <c r="J134" s="17" t="s">
        <v>52</v>
      </c>
      <c r="K134" s="17"/>
      <c r="L134" s="23">
        <v>0</v>
      </c>
      <c r="M134" s="23">
        <v>0</v>
      </c>
      <c r="N134" s="23">
        <v>1</v>
      </c>
      <c r="P134" s="25">
        <f>SUM(L134:N134)</f>
        <v>1</v>
      </c>
      <c r="Q134" s="25"/>
    </row>
    <row r="135" spans="10:17" x14ac:dyDescent="0.2">
      <c r="J135" s="17" t="s">
        <v>32</v>
      </c>
      <c r="K135" s="17"/>
      <c r="L135" s="23">
        <v>9.0909090909090912E-2</v>
      </c>
      <c r="M135" s="23">
        <v>0.18181818181818182</v>
      </c>
      <c r="N135" s="23">
        <v>0.72727272727272729</v>
      </c>
      <c r="P135" s="25">
        <f t="shared" ref="P135:P156" si="57">SUM(L135:N135)</f>
        <v>1</v>
      </c>
      <c r="Q135" s="25"/>
    </row>
    <row r="136" spans="10:17" x14ac:dyDescent="0.2">
      <c r="J136" s="17" t="s">
        <v>31</v>
      </c>
      <c r="K136" s="17"/>
      <c r="L136" s="23">
        <v>5.2631578947368418E-2</v>
      </c>
      <c r="M136" s="23">
        <v>0.18421052631578946</v>
      </c>
      <c r="N136" s="23">
        <v>0.76315789473684215</v>
      </c>
      <c r="P136" s="25">
        <f t="shared" si="57"/>
        <v>1</v>
      </c>
      <c r="Q136" s="25"/>
    </row>
    <row r="137" spans="10:17" x14ac:dyDescent="0.2">
      <c r="J137" s="19" t="s">
        <v>62</v>
      </c>
      <c r="K137" s="2" t="s">
        <v>8</v>
      </c>
      <c r="L137" s="21" t="s">
        <v>54</v>
      </c>
      <c r="M137" s="21" t="s">
        <v>55</v>
      </c>
      <c r="N137" s="21" t="s">
        <v>56</v>
      </c>
      <c r="P137" s="25"/>
    </row>
    <row r="138" spans="10:17" x14ac:dyDescent="0.2">
      <c r="J138" s="20" t="s">
        <v>52</v>
      </c>
      <c r="K138" s="10"/>
      <c r="L138" s="23">
        <v>0</v>
      </c>
      <c r="M138" s="23">
        <v>0</v>
      </c>
      <c r="N138" s="23">
        <v>1</v>
      </c>
      <c r="P138" s="25">
        <f t="shared" si="57"/>
        <v>1</v>
      </c>
    </row>
    <row r="139" spans="10:17" x14ac:dyDescent="0.2">
      <c r="J139" s="20" t="s">
        <v>32</v>
      </c>
      <c r="K139" s="20"/>
      <c r="L139" s="23">
        <v>9.0909090909090912E-2</v>
      </c>
      <c r="M139" s="23">
        <v>0.27272727272727271</v>
      </c>
      <c r="N139" s="23">
        <v>0.63636363636363635</v>
      </c>
      <c r="P139" s="25">
        <f t="shared" si="57"/>
        <v>1</v>
      </c>
    </row>
    <row r="140" spans="10:17" x14ac:dyDescent="0.2">
      <c r="J140" s="20" t="s">
        <v>31</v>
      </c>
      <c r="K140" s="20"/>
      <c r="L140" s="23">
        <v>2.6315789473684209E-2</v>
      </c>
      <c r="M140" s="23">
        <v>0.15789473684210525</v>
      </c>
      <c r="N140" s="23">
        <v>0.81578947368421051</v>
      </c>
      <c r="P140" s="25">
        <f t="shared" si="57"/>
        <v>1</v>
      </c>
    </row>
    <row r="141" spans="10:17" x14ac:dyDescent="0.2">
      <c r="J141" s="16" t="s">
        <v>62</v>
      </c>
      <c r="K141" s="2" t="s">
        <v>14</v>
      </c>
      <c r="L141" s="18" t="s">
        <v>54</v>
      </c>
      <c r="M141" s="18" t="s">
        <v>55</v>
      </c>
      <c r="N141" s="18" t="s">
        <v>56</v>
      </c>
      <c r="P141" s="25"/>
    </row>
    <row r="142" spans="10:17" x14ac:dyDescent="0.2">
      <c r="J142" s="17" t="s">
        <v>52</v>
      </c>
      <c r="K142" s="17"/>
      <c r="L142" s="23">
        <v>0.125</v>
      </c>
      <c r="M142" s="23">
        <v>0.375</v>
      </c>
      <c r="N142" s="23">
        <v>0.5</v>
      </c>
      <c r="P142" s="25">
        <f t="shared" si="57"/>
        <v>1</v>
      </c>
    </row>
    <row r="143" spans="10:17" x14ac:dyDescent="0.2">
      <c r="J143" s="17" t="s">
        <v>32</v>
      </c>
      <c r="K143" s="17"/>
      <c r="L143" s="23">
        <v>9.0909090909090912E-2</v>
      </c>
      <c r="M143" s="23">
        <v>0.45454545454545453</v>
      </c>
      <c r="N143" s="23">
        <v>0.45454545454545453</v>
      </c>
      <c r="P143" s="25">
        <f t="shared" si="57"/>
        <v>1</v>
      </c>
    </row>
    <row r="144" spans="10:17" x14ac:dyDescent="0.2">
      <c r="J144" s="17" t="s">
        <v>31</v>
      </c>
      <c r="K144" s="17"/>
      <c r="L144" s="23">
        <v>5.2631578947368418E-2</v>
      </c>
      <c r="M144" s="23">
        <v>0.26315789473684209</v>
      </c>
      <c r="N144" s="23">
        <v>0.68421052631578949</v>
      </c>
      <c r="P144" s="25">
        <f t="shared" si="57"/>
        <v>1</v>
      </c>
    </row>
    <row r="145" spans="10:16" x14ac:dyDescent="0.2">
      <c r="J145" s="19" t="s">
        <v>62</v>
      </c>
      <c r="K145" s="2" t="s">
        <v>16</v>
      </c>
      <c r="L145" s="21" t="s">
        <v>54</v>
      </c>
      <c r="M145" s="21" t="s">
        <v>55</v>
      </c>
      <c r="N145" s="21" t="s">
        <v>56</v>
      </c>
      <c r="P145" s="25"/>
    </row>
    <row r="146" spans="10:16" x14ac:dyDescent="0.2">
      <c r="J146" s="20" t="s">
        <v>52</v>
      </c>
      <c r="K146" s="10"/>
      <c r="L146" s="23">
        <v>0</v>
      </c>
      <c r="M146" s="23">
        <v>0.375</v>
      </c>
      <c r="N146" s="23">
        <v>0.625</v>
      </c>
      <c r="P146" s="25">
        <f t="shared" si="57"/>
        <v>1</v>
      </c>
    </row>
    <row r="147" spans="10:16" x14ac:dyDescent="0.2">
      <c r="J147" s="20" t="s">
        <v>32</v>
      </c>
      <c r="K147" s="20"/>
      <c r="L147" s="23">
        <v>0</v>
      </c>
      <c r="M147" s="23">
        <v>0.27272727272727271</v>
      </c>
      <c r="N147" s="23">
        <v>0.72727272727272729</v>
      </c>
      <c r="P147" s="25">
        <f t="shared" si="57"/>
        <v>1</v>
      </c>
    </row>
    <row r="148" spans="10:16" x14ac:dyDescent="0.2">
      <c r="J148" s="20" t="s">
        <v>31</v>
      </c>
      <c r="K148" s="20"/>
      <c r="L148" s="23">
        <v>2.6315789473684209E-2</v>
      </c>
      <c r="M148" s="23">
        <v>0.39473684210526316</v>
      </c>
      <c r="N148" s="23">
        <v>0.57894736842105265</v>
      </c>
      <c r="P148" s="25">
        <f t="shared" si="57"/>
        <v>1</v>
      </c>
    </row>
    <row r="149" spans="10:16" x14ac:dyDescent="0.2">
      <c r="J149" s="16" t="s">
        <v>62</v>
      </c>
      <c r="K149" s="2" t="s">
        <v>19</v>
      </c>
      <c r="L149" s="18" t="s">
        <v>54</v>
      </c>
      <c r="M149" s="18" t="s">
        <v>55</v>
      </c>
      <c r="N149" s="18" t="s">
        <v>56</v>
      </c>
      <c r="P149" s="25"/>
    </row>
    <row r="150" spans="10:16" x14ac:dyDescent="0.2">
      <c r="J150" s="17" t="s">
        <v>52</v>
      </c>
      <c r="K150" s="17"/>
      <c r="L150" s="23">
        <v>0</v>
      </c>
      <c r="M150" s="23">
        <v>0.625</v>
      </c>
      <c r="N150" s="23">
        <v>0.375</v>
      </c>
      <c r="P150" s="25">
        <f t="shared" si="57"/>
        <v>1</v>
      </c>
    </row>
    <row r="151" spans="10:16" x14ac:dyDescent="0.2">
      <c r="J151" s="17" t="s">
        <v>32</v>
      </c>
      <c r="K151" s="17"/>
      <c r="L151" s="23">
        <v>0</v>
      </c>
      <c r="M151" s="23">
        <v>0.36363636363636365</v>
      </c>
      <c r="N151" s="23">
        <v>0.63636363636363635</v>
      </c>
      <c r="P151" s="25">
        <f t="shared" si="57"/>
        <v>1</v>
      </c>
    </row>
    <row r="152" spans="10:16" x14ac:dyDescent="0.2">
      <c r="J152" s="17" t="s">
        <v>31</v>
      </c>
      <c r="K152" s="17"/>
      <c r="L152" s="23">
        <v>2.6315789473684209E-2</v>
      </c>
      <c r="M152" s="23">
        <v>0.21052631578947367</v>
      </c>
      <c r="N152" s="23">
        <v>0.76315789473684215</v>
      </c>
      <c r="P152" s="25">
        <f t="shared" si="57"/>
        <v>1</v>
      </c>
    </row>
    <row r="153" spans="10:16" x14ac:dyDescent="0.2">
      <c r="J153" s="19" t="s">
        <v>62</v>
      </c>
      <c r="K153" s="2" t="s">
        <v>43</v>
      </c>
      <c r="L153" s="21" t="s">
        <v>54</v>
      </c>
      <c r="M153" s="21" t="s">
        <v>55</v>
      </c>
      <c r="N153" s="21" t="s">
        <v>56</v>
      </c>
      <c r="P153" s="25"/>
    </row>
    <row r="154" spans="10:16" x14ac:dyDescent="0.2">
      <c r="J154" s="20" t="s">
        <v>52</v>
      </c>
      <c r="K154" s="10"/>
      <c r="L154" s="23">
        <v>0</v>
      </c>
      <c r="M154" s="23">
        <v>0.25</v>
      </c>
      <c r="N154" s="23">
        <v>0.75</v>
      </c>
      <c r="P154" s="25">
        <f t="shared" si="57"/>
        <v>1</v>
      </c>
    </row>
    <row r="155" spans="10:16" x14ac:dyDescent="0.2">
      <c r="J155" s="20" t="s">
        <v>32</v>
      </c>
      <c r="K155" s="20"/>
      <c r="L155" s="23">
        <v>0</v>
      </c>
      <c r="M155" s="23">
        <v>0.27272727272727271</v>
      </c>
      <c r="N155" s="23">
        <v>0.72727272727272729</v>
      </c>
      <c r="P155" s="25">
        <f t="shared" si="57"/>
        <v>1</v>
      </c>
    </row>
    <row r="156" spans="10:16" x14ac:dyDescent="0.2">
      <c r="J156" s="20" t="s">
        <v>31</v>
      </c>
      <c r="K156" s="20"/>
      <c r="L156" s="23">
        <v>2.6315789473684209E-2</v>
      </c>
      <c r="M156" s="23">
        <v>0.21052631578947367</v>
      </c>
      <c r="N156" s="23">
        <v>0.76315789473684215</v>
      </c>
      <c r="P156" s="25">
        <f t="shared" si="57"/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E67C-F183-594D-B1D1-296CCC2DEEA4}">
  <dimension ref="A1:L14"/>
  <sheetViews>
    <sheetView workbookViewId="0">
      <selection activeCell="G10" sqref="G10"/>
    </sheetView>
  </sheetViews>
  <sheetFormatPr baseColWidth="10" defaultRowHeight="16" x14ac:dyDescent="0.2"/>
  <cols>
    <col min="2" max="2" width="60.1640625" bestFit="1" customWidth="1"/>
    <col min="11" max="11" width="19.83203125" customWidth="1"/>
  </cols>
  <sheetData>
    <row r="1" spans="1:12" ht="19" x14ac:dyDescent="0.25">
      <c r="B1" t="s">
        <v>68</v>
      </c>
      <c r="C1" s="28" t="s">
        <v>66</v>
      </c>
      <c r="K1" t="s">
        <v>64</v>
      </c>
      <c r="L1" s="28" t="s">
        <v>67</v>
      </c>
    </row>
    <row r="2" spans="1:12" ht="19" x14ac:dyDescent="0.25">
      <c r="B2" s="25" t="s">
        <v>69</v>
      </c>
      <c r="C2" s="29">
        <v>0.96</v>
      </c>
      <c r="K2" t="s">
        <v>71</v>
      </c>
      <c r="L2" s="29">
        <v>0.68</v>
      </c>
    </row>
    <row r="3" spans="1:12" ht="19" x14ac:dyDescent="0.25">
      <c r="B3" s="25" t="s">
        <v>89</v>
      </c>
      <c r="C3" s="29">
        <v>0.96</v>
      </c>
      <c r="K3" t="s">
        <v>78</v>
      </c>
      <c r="L3" s="29">
        <v>0.63</v>
      </c>
    </row>
    <row r="4" spans="1:12" ht="19" x14ac:dyDescent="0.25">
      <c r="B4" s="25" t="s">
        <v>70</v>
      </c>
      <c r="C4" s="29">
        <v>0.93</v>
      </c>
      <c r="K4" t="s">
        <v>85</v>
      </c>
      <c r="L4" s="29">
        <v>0.63</v>
      </c>
    </row>
    <row r="5" spans="1:12" ht="19" x14ac:dyDescent="0.25">
      <c r="B5" s="25" t="s">
        <v>87</v>
      </c>
      <c r="C5" s="29">
        <v>0.91</v>
      </c>
      <c r="K5" t="s">
        <v>73</v>
      </c>
      <c r="L5" s="29">
        <v>0.61</v>
      </c>
    </row>
    <row r="6" spans="1:12" ht="19" x14ac:dyDescent="0.25">
      <c r="B6" s="25" t="s">
        <v>79</v>
      </c>
      <c r="C6" s="29">
        <v>0.88</v>
      </c>
      <c r="K6" t="s">
        <v>74</v>
      </c>
      <c r="L6" s="29">
        <v>0.61</v>
      </c>
    </row>
    <row r="7" spans="1:12" ht="19" x14ac:dyDescent="0.25">
      <c r="B7" s="25" t="s">
        <v>86</v>
      </c>
      <c r="C7" s="29">
        <v>0.88</v>
      </c>
      <c r="K7" t="s">
        <v>75</v>
      </c>
      <c r="L7" s="29">
        <v>0.61</v>
      </c>
    </row>
    <row r="8" spans="1:12" ht="19" x14ac:dyDescent="0.25">
      <c r="B8" s="25" t="s">
        <v>80</v>
      </c>
      <c r="C8" s="29">
        <v>0.82</v>
      </c>
      <c r="K8" t="s">
        <v>77</v>
      </c>
      <c r="L8" s="29">
        <v>0.61</v>
      </c>
    </row>
    <row r="9" spans="1:12" ht="19" x14ac:dyDescent="0.25">
      <c r="B9" s="25" t="s">
        <v>88</v>
      </c>
      <c r="C9" s="29">
        <v>0.81</v>
      </c>
      <c r="K9" t="s">
        <v>72</v>
      </c>
      <c r="L9" s="29">
        <v>0.56000000000000005</v>
      </c>
    </row>
    <row r="10" spans="1:12" ht="19" x14ac:dyDescent="0.25">
      <c r="B10" s="25" t="s">
        <v>81</v>
      </c>
      <c r="C10" s="29">
        <v>0.79</v>
      </c>
      <c r="K10" t="s">
        <v>76</v>
      </c>
      <c r="L10" s="29">
        <v>0.56000000000000005</v>
      </c>
    </row>
    <row r="11" spans="1:12" ht="19" x14ac:dyDescent="0.25">
      <c r="B11" s="25" t="s">
        <v>82</v>
      </c>
      <c r="C11" s="29">
        <v>0.75</v>
      </c>
      <c r="K11" t="s">
        <v>84</v>
      </c>
      <c r="L11" s="29">
        <v>0.49</v>
      </c>
    </row>
    <row r="12" spans="1:12" ht="19" x14ac:dyDescent="0.25">
      <c r="K12" t="s">
        <v>83</v>
      </c>
      <c r="L12" s="29">
        <v>0.44</v>
      </c>
    </row>
    <row r="13" spans="1:12" ht="19" x14ac:dyDescent="0.25">
      <c r="A13" s="28"/>
    </row>
    <row r="14" spans="1:12" ht="19" x14ac:dyDescent="0.25">
      <c r="A14" s="28"/>
    </row>
  </sheetData>
  <sortState xmlns:xlrd2="http://schemas.microsoft.com/office/spreadsheetml/2017/richdata2" ref="K2:L12">
    <sortCondition descending="1" ref="L2:L12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5E6A-29B4-8E4F-BA4F-92DB336C6BDD}">
  <dimension ref="B10:H83"/>
  <sheetViews>
    <sheetView topLeftCell="E52" zoomScale="75" workbookViewId="0">
      <selection activeCell="B80" sqref="B80:H83"/>
    </sheetView>
  </sheetViews>
  <sheetFormatPr baseColWidth="10" defaultRowHeight="16" x14ac:dyDescent="0.2"/>
  <sheetData>
    <row r="10" spans="2:8" x14ac:dyDescent="0.2">
      <c r="C10" s="15"/>
      <c r="D10" s="15"/>
      <c r="E10" s="15"/>
      <c r="F10" s="15"/>
      <c r="G10" s="15"/>
      <c r="H10" s="15"/>
    </row>
    <row r="12" spans="2:8" x14ac:dyDescent="0.2"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</row>
    <row r="13" spans="2:8" x14ac:dyDescent="0.2">
      <c r="C13" t="s">
        <v>7</v>
      </c>
      <c r="D13" t="s">
        <v>8</v>
      </c>
      <c r="E13" t="s">
        <v>14</v>
      </c>
      <c r="F13" t="s">
        <v>16</v>
      </c>
      <c r="G13" t="s">
        <v>19</v>
      </c>
      <c r="H13" t="s">
        <v>43</v>
      </c>
    </row>
    <row r="14" spans="2:8" x14ac:dyDescent="0.2">
      <c r="B14" t="s">
        <v>59</v>
      </c>
      <c r="C14" s="15">
        <v>1</v>
      </c>
      <c r="D14" s="15">
        <v>1</v>
      </c>
      <c r="E14" s="15">
        <v>0.5</v>
      </c>
      <c r="F14" s="15">
        <v>0.625</v>
      </c>
      <c r="G14" s="15">
        <v>0.375</v>
      </c>
      <c r="H14" s="15">
        <v>0.75</v>
      </c>
    </row>
    <row r="15" spans="2:8" x14ac:dyDescent="0.2">
      <c r="B15" t="s">
        <v>60</v>
      </c>
      <c r="C15" s="15">
        <v>0.72727272727272729</v>
      </c>
      <c r="D15" s="15">
        <v>0.63636363636363635</v>
      </c>
      <c r="E15" s="15">
        <v>0.45454545454545453</v>
      </c>
      <c r="F15" s="15">
        <v>0.72727272727272729</v>
      </c>
      <c r="G15" s="15">
        <v>0.63636363636363635</v>
      </c>
      <c r="H15" s="15">
        <v>0.72727272727272729</v>
      </c>
    </row>
    <row r="16" spans="2:8" x14ac:dyDescent="0.2">
      <c r="B16" t="s">
        <v>61</v>
      </c>
      <c r="C16" s="15">
        <v>0.76315789473684215</v>
      </c>
      <c r="D16" s="15">
        <v>0.81578947368421051</v>
      </c>
      <c r="E16" s="15">
        <v>0.68421052631578949</v>
      </c>
      <c r="F16" s="15">
        <v>0.57894736842105265</v>
      </c>
      <c r="G16" s="15">
        <v>0.76315789473684215</v>
      </c>
      <c r="H16" s="15">
        <v>0.76315789473684215</v>
      </c>
    </row>
    <row r="28" spans="2:8" x14ac:dyDescent="0.2"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</row>
    <row r="29" spans="2:8" x14ac:dyDescent="0.2">
      <c r="C29" t="s">
        <v>1</v>
      </c>
      <c r="D29" t="s">
        <v>11</v>
      </c>
      <c r="E29" t="s">
        <v>15</v>
      </c>
      <c r="F29" t="s">
        <v>17</v>
      </c>
      <c r="G29" t="s">
        <v>21</v>
      </c>
      <c r="H29" t="s">
        <v>42</v>
      </c>
    </row>
    <row r="30" spans="2:8" x14ac:dyDescent="0.2">
      <c r="B30" t="s">
        <v>59</v>
      </c>
      <c r="C30" s="15">
        <v>1</v>
      </c>
      <c r="D30" s="15">
        <v>0.75</v>
      </c>
      <c r="E30" s="15">
        <v>0.625</v>
      </c>
      <c r="F30" s="15">
        <v>1</v>
      </c>
      <c r="G30" s="15">
        <v>0.5</v>
      </c>
      <c r="H30" s="15">
        <v>0.75</v>
      </c>
    </row>
    <row r="31" spans="2:8" x14ac:dyDescent="0.2">
      <c r="B31" t="s">
        <v>60</v>
      </c>
      <c r="C31" s="15">
        <v>0.90909090909090906</v>
      </c>
      <c r="D31" s="15">
        <v>1</v>
      </c>
      <c r="E31" s="15">
        <v>0.18181818181818182</v>
      </c>
      <c r="F31" s="15">
        <v>1</v>
      </c>
      <c r="G31" s="15">
        <v>0.36363636363636365</v>
      </c>
      <c r="H31" s="15">
        <v>0.81818181818181823</v>
      </c>
    </row>
    <row r="32" spans="2:8" x14ac:dyDescent="0.2">
      <c r="B32" t="s">
        <v>61</v>
      </c>
      <c r="C32" s="15">
        <v>0.86842105263157898</v>
      </c>
      <c r="D32" s="15">
        <v>0.86842105263157898</v>
      </c>
      <c r="E32" s="15">
        <v>0.55263157894736847</v>
      </c>
      <c r="F32" s="15">
        <v>0.94736842105263153</v>
      </c>
      <c r="G32" s="15">
        <v>0.44736842105263158</v>
      </c>
      <c r="H32" s="15">
        <v>0.68421052631578949</v>
      </c>
    </row>
    <row r="43" spans="2:8" x14ac:dyDescent="0.2">
      <c r="C43" t="s">
        <v>36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</row>
    <row r="44" spans="2:8" x14ac:dyDescent="0.2">
      <c r="C44" s="8" t="s">
        <v>2</v>
      </c>
      <c r="D44" s="8" t="s">
        <v>3</v>
      </c>
      <c r="E44" s="8" t="s">
        <v>6</v>
      </c>
      <c r="F44" s="8" t="s">
        <v>10</v>
      </c>
      <c r="G44" s="8" t="s">
        <v>20</v>
      </c>
      <c r="H44" s="8" t="s">
        <v>26</v>
      </c>
    </row>
    <row r="45" spans="2:8" x14ac:dyDescent="0.2">
      <c r="B45" t="s">
        <v>59</v>
      </c>
      <c r="C45" s="15">
        <v>0.875</v>
      </c>
      <c r="D45" s="15">
        <v>0.75</v>
      </c>
      <c r="E45" s="15">
        <v>0.875</v>
      </c>
      <c r="F45" s="15">
        <v>0.5</v>
      </c>
      <c r="G45" s="15">
        <v>0.625</v>
      </c>
      <c r="H45" s="15">
        <v>0.875</v>
      </c>
    </row>
    <row r="46" spans="2:8" x14ac:dyDescent="0.2">
      <c r="B46" t="s">
        <v>60</v>
      </c>
      <c r="C46" s="15">
        <v>1</v>
      </c>
      <c r="D46" s="15">
        <v>0.63636363636363635</v>
      </c>
      <c r="E46" s="15">
        <v>0.72727272727272729</v>
      </c>
      <c r="F46" s="15">
        <v>0.63636363636363635</v>
      </c>
      <c r="G46" s="15">
        <v>0.90909090909090906</v>
      </c>
      <c r="H46" s="15">
        <v>0.72727272727272729</v>
      </c>
    </row>
    <row r="47" spans="2:8" x14ac:dyDescent="0.2">
      <c r="B47" t="s">
        <v>61</v>
      </c>
      <c r="C47" s="15">
        <v>0.97368421052631582</v>
      </c>
      <c r="D47" s="15">
        <v>0.76315789473684215</v>
      </c>
      <c r="E47" s="15">
        <v>0.78947368421052633</v>
      </c>
      <c r="F47" s="15">
        <v>0.55263157894736847</v>
      </c>
      <c r="G47" s="15">
        <v>0.84210526315789469</v>
      </c>
      <c r="H47" s="15">
        <v>0.63157894736842102</v>
      </c>
    </row>
    <row r="60" spans="2:8" x14ac:dyDescent="0.2">
      <c r="C60" t="s">
        <v>38</v>
      </c>
      <c r="D60" t="s">
        <v>38</v>
      </c>
      <c r="E60" t="s">
        <v>38</v>
      </c>
      <c r="F60" t="s">
        <v>38</v>
      </c>
      <c r="G60" t="s">
        <v>38</v>
      </c>
      <c r="H60" t="s">
        <v>38</v>
      </c>
    </row>
    <row r="61" spans="2:8" x14ac:dyDescent="0.2">
      <c r="C61" t="s">
        <v>40</v>
      </c>
      <c r="D61" t="s">
        <v>9</v>
      </c>
      <c r="E61" t="s">
        <v>41</v>
      </c>
      <c r="F61" t="s">
        <v>27</v>
      </c>
      <c r="G61" t="s">
        <v>28</v>
      </c>
      <c r="H61" t="s">
        <v>30</v>
      </c>
    </row>
    <row r="62" spans="2:8" x14ac:dyDescent="0.2">
      <c r="B62" t="s">
        <v>59</v>
      </c>
      <c r="C62" s="15">
        <v>0.875</v>
      </c>
      <c r="D62" s="15">
        <v>0.5</v>
      </c>
      <c r="E62" s="15">
        <v>0.875</v>
      </c>
      <c r="F62" s="15">
        <v>0.75</v>
      </c>
      <c r="G62" s="15">
        <v>0.625</v>
      </c>
      <c r="H62" s="15">
        <v>1</v>
      </c>
    </row>
    <row r="63" spans="2:8" x14ac:dyDescent="0.2">
      <c r="B63" t="s">
        <v>60</v>
      </c>
      <c r="C63" s="15">
        <v>0.63636363636363635</v>
      </c>
      <c r="D63" s="15">
        <v>0.54545454545454541</v>
      </c>
      <c r="E63" s="15">
        <v>0.90909090909090906</v>
      </c>
      <c r="F63" s="15">
        <v>0.72727272727272729</v>
      </c>
      <c r="G63" s="15">
        <v>0.54545454545454541</v>
      </c>
      <c r="H63" s="15">
        <v>1</v>
      </c>
    </row>
    <row r="64" spans="2:8" x14ac:dyDescent="0.2">
      <c r="B64" t="s">
        <v>61</v>
      </c>
      <c r="C64" s="15">
        <v>0.57894736842105265</v>
      </c>
      <c r="D64" s="15">
        <v>0.55263157894736847</v>
      </c>
      <c r="E64" s="15">
        <v>0.86842105263157898</v>
      </c>
      <c r="F64" s="15">
        <v>0.57894736842105265</v>
      </c>
      <c r="G64" s="15">
        <v>0.63157894736842102</v>
      </c>
      <c r="H64" s="15">
        <v>0.86842105263157898</v>
      </c>
    </row>
    <row r="79" spans="3:8" x14ac:dyDescent="0.2"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</row>
    <row r="80" spans="3:8" x14ac:dyDescent="0.2">
      <c r="C80" t="s">
        <v>4</v>
      </c>
      <c r="D80" t="s">
        <v>12</v>
      </c>
      <c r="E80" t="s">
        <v>13</v>
      </c>
      <c r="F80" t="s">
        <v>18</v>
      </c>
      <c r="G80" t="s">
        <v>23</v>
      </c>
      <c r="H80" t="s">
        <v>25</v>
      </c>
    </row>
    <row r="81" spans="2:8" x14ac:dyDescent="0.2">
      <c r="B81" t="s">
        <v>59</v>
      </c>
      <c r="C81" s="15">
        <v>0.625</v>
      </c>
      <c r="D81" s="15">
        <v>1</v>
      </c>
      <c r="E81" s="15">
        <v>0.5</v>
      </c>
      <c r="F81" s="15">
        <v>0.5</v>
      </c>
      <c r="G81" s="15">
        <v>1</v>
      </c>
      <c r="H81" s="15">
        <v>0.875</v>
      </c>
    </row>
    <row r="82" spans="2:8" x14ac:dyDescent="0.2">
      <c r="B82" t="s">
        <v>60</v>
      </c>
      <c r="C82" s="15">
        <v>0.63636363636363635</v>
      </c>
      <c r="D82" s="15">
        <v>0.63636363636363635</v>
      </c>
      <c r="E82" s="15">
        <v>0.72727272727272729</v>
      </c>
      <c r="F82" s="15">
        <v>0.27272727272727271</v>
      </c>
      <c r="G82" s="15">
        <v>0.81818181818181823</v>
      </c>
      <c r="H82" s="15">
        <v>0.72727272727272729</v>
      </c>
    </row>
    <row r="83" spans="2:8" x14ac:dyDescent="0.2">
      <c r="B83" t="s">
        <v>61</v>
      </c>
      <c r="C83" s="15">
        <v>0.60526315789473684</v>
      </c>
      <c r="D83" s="15">
        <v>0.68421052631578949</v>
      </c>
      <c r="E83" s="15">
        <v>0.60526315789473684</v>
      </c>
      <c r="F83" s="15">
        <v>0.31578947368421051</v>
      </c>
      <c r="G83" s="15">
        <v>0.68421052631578949</v>
      </c>
      <c r="H83" s="15">
        <v>0.57894736842105265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G88"/>
  <sheetViews>
    <sheetView topLeftCell="F1" workbookViewId="0">
      <selection activeCell="B1" sqref="B1:AF59"/>
    </sheetView>
  </sheetViews>
  <sheetFormatPr baseColWidth="10" defaultRowHeight="16" x14ac:dyDescent="0.2"/>
  <sheetData>
    <row r="1" spans="2:32" x14ac:dyDescent="0.2">
      <c r="B1" s="2" t="s">
        <v>34</v>
      </c>
      <c r="C1" s="2" t="s">
        <v>35</v>
      </c>
      <c r="D1" s="2" t="s">
        <v>36</v>
      </c>
      <c r="E1" s="2" t="s">
        <v>36</v>
      </c>
      <c r="F1" s="2" t="s">
        <v>37</v>
      </c>
      <c r="G1" s="2" t="s">
        <v>38</v>
      </c>
      <c r="H1" s="2" t="s">
        <v>36</v>
      </c>
      <c r="I1" s="2" t="s">
        <v>39</v>
      </c>
      <c r="J1" s="2" t="s">
        <v>39</v>
      </c>
      <c r="K1" s="2" t="s">
        <v>38</v>
      </c>
      <c r="L1" s="2" t="s">
        <v>36</v>
      </c>
      <c r="M1" s="2" t="s">
        <v>35</v>
      </c>
      <c r="N1" s="2" t="s">
        <v>37</v>
      </c>
      <c r="O1" s="2" t="s">
        <v>37</v>
      </c>
      <c r="P1" s="2" t="s">
        <v>39</v>
      </c>
      <c r="Q1" s="2" t="s">
        <v>35</v>
      </c>
      <c r="R1" s="2" t="s">
        <v>39</v>
      </c>
      <c r="S1" s="2" t="s">
        <v>35</v>
      </c>
      <c r="T1" s="2" t="s">
        <v>37</v>
      </c>
      <c r="U1" s="2" t="s">
        <v>39</v>
      </c>
      <c r="V1" s="2" t="s">
        <v>36</v>
      </c>
      <c r="W1" s="2" t="s">
        <v>35</v>
      </c>
      <c r="X1" s="2" t="s">
        <v>38</v>
      </c>
      <c r="Y1" s="2" t="s">
        <v>37</v>
      </c>
      <c r="Z1" s="2" t="s">
        <v>35</v>
      </c>
      <c r="AA1" s="2" t="s">
        <v>37</v>
      </c>
      <c r="AB1" s="2" t="s">
        <v>36</v>
      </c>
      <c r="AC1" s="2" t="s">
        <v>38</v>
      </c>
      <c r="AD1" s="2" t="s">
        <v>38</v>
      </c>
      <c r="AE1" s="2" t="s">
        <v>39</v>
      </c>
      <c r="AF1" s="2" t="s">
        <v>38</v>
      </c>
    </row>
    <row r="2" spans="2:32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</row>
    <row r="3" spans="2:32" x14ac:dyDescent="0.2">
      <c r="B3" s="1" t="s">
        <v>33</v>
      </c>
      <c r="C3">
        <v>4</v>
      </c>
      <c r="D3">
        <v>5</v>
      </c>
      <c r="E3">
        <v>5</v>
      </c>
      <c r="F3">
        <v>4</v>
      </c>
      <c r="G3">
        <v>4</v>
      </c>
      <c r="H3">
        <v>4</v>
      </c>
      <c r="I3">
        <v>4</v>
      </c>
      <c r="J3">
        <v>5</v>
      </c>
      <c r="K3">
        <v>4</v>
      </c>
      <c r="L3">
        <v>4</v>
      </c>
      <c r="M3">
        <v>5</v>
      </c>
      <c r="N3">
        <v>4</v>
      </c>
      <c r="O3">
        <v>4</v>
      </c>
      <c r="P3">
        <v>3</v>
      </c>
      <c r="Q3">
        <v>4</v>
      </c>
      <c r="R3">
        <v>4</v>
      </c>
      <c r="S3">
        <v>4</v>
      </c>
      <c r="T3">
        <v>4</v>
      </c>
      <c r="U3">
        <v>3</v>
      </c>
      <c r="V3">
        <v>5</v>
      </c>
      <c r="W3">
        <v>4</v>
      </c>
      <c r="X3">
        <v>5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</row>
    <row r="4" spans="2:32" x14ac:dyDescent="0.2">
      <c r="B4" t="s">
        <v>32</v>
      </c>
      <c r="C4">
        <v>4</v>
      </c>
      <c r="D4">
        <v>5</v>
      </c>
      <c r="E4">
        <v>4</v>
      </c>
      <c r="F4">
        <v>4</v>
      </c>
      <c r="G4">
        <v>4</v>
      </c>
      <c r="H4">
        <v>5</v>
      </c>
      <c r="I4">
        <v>4</v>
      </c>
      <c r="J4">
        <v>5</v>
      </c>
      <c r="K4">
        <v>5</v>
      </c>
      <c r="L4">
        <v>4</v>
      </c>
      <c r="M4">
        <v>5</v>
      </c>
      <c r="N4">
        <v>5</v>
      </c>
      <c r="O4">
        <v>4</v>
      </c>
      <c r="P4">
        <v>4</v>
      </c>
      <c r="Q4">
        <v>3</v>
      </c>
      <c r="R4">
        <v>4</v>
      </c>
      <c r="S4">
        <v>5</v>
      </c>
      <c r="T4">
        <v>4</v>
      </c>
      <c r="U4">
        <v>4</v>
      </c>
      <c r="V4">
        <v>4</v>
      </c>
      <c r="W4">
        <v>4</v>
      </c>
      <c r="X4">
        <v>5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5</v>
      </c>
      <c r="AF4">
        <v>5</v>
      </c>
    </row>
    <row r="5" spans="2:32" x14ac:dyDescent="0.2">
      <c r="B5" t="s">
        <v>32</v>
      </c>
      <c r="C5">
        <v>5</v>
      </c>
      <c r="D5">
        <v>5</v>
      </c>
      <c r="E5">
        <v>4</v>
      </c>
      <c r="F5">
        <v>4</v>
      </c>
      <c r="G5">
        <v>4</v>
      </c>
      <c r="H5">
        <v>3</v>
      </c>
      <c r="I5">
        <v>4</v>
      </c>
      <c r="J5">
        <v>3</v>
      </c>
      <c r="K5">
        <v>4</v>
      </c>
      <c r="L5">
        <v>3</v>
      </c>
      <c r="M5">
        <v>4</v>
      </c>
      <c r="N5">
        <v>3</v>
      </c>
      <c r="O5">
        <v>4</v>
      </c>
      <c r="P5">
        <v>4</v>
      </c>
      <c r="Q5">
        <v>3</v>
      </c>
      <c r="R5">
        <v>4</v>
      </c>
      <c r="S5">
        <v>4</v>
      </c>
      <c r="T5">
        <v>2</v>
      </c>
      <c r="U5">
        <v>4</v>
      </c>
      <c r="V5">
        <v>4</v>
      </c>
      <c r="W5">
        <v>3</v>
      </c>
      <c r="X5">
        <v>5</v>
      </c>
      <c r="Y5">
        <v>5</v>
      </c>
      <c r="Z5">
        <v>3</v>
      </c>
      <c r="AA5">
        <v>3</v>
      </c>
      <c r="AB5">
        <v>4</v>
      </c>
      <c r="AC5">
        <v>3</v>
      </c>
      <c r="AD5">
        <v>3</v>
      </c>
      <c r="AE5">
        <v>4</v>
      </c>
      <c r="AF5">
        <v>5</v>
      </c>
    </row>
    <row r="6" spans="2:32" x14ac:dyDescent="0.2">
      <c r="B6" t="s">
        <v>32</v>
      </c>
      <c r="C6">
        <v>4</v>
      </c>
      <c r="D6">
        <v>5</v>
      </c>
      <c r="E6">
        <v>5</v>
      </c>
      <c r="F6">
        <v>4</v>
      </c>
      <c r="G6">
        <v>4</v>
      </c>
      <c r="H6">
        <v>4</v>
      </c>
      <c r="I6">
        <v>3</v>
      </c>
      <c r="J6">
        <v>4</v>
      </c>
      <c r="K6">
        <v>3</v>
      </c>
      <c r="L6">
        <v>3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4</v>
      </c>
      <c r="T6">
        <v>3</v>
      </c>
      <c r="U6">
        <v>4</v>
      </c>
      <c r="V6">
        <v>4</v>
      </c>
      <c r="W6">
        <v>3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5</v>
      </c>
    </row>
    <row r="7" spans="2:32" x14ac:dyDescent="0.2">
      <c r="B7" t="s">
        <v>32</v>
      </c>
      <c r="C7">
        <v>4</v>
      </c>
      <c r="D7">
        <v>5</v>
      </c>
      <c r="E7">
        <v>4</v>
      </c>
      <c r="F7">
        <v>4</v>
      </c>
      <c r="G7">
        <v>3</v>
      </c>
      <c r="H7">
        <v>4</v>
      </c>
      <c r="I7">
        <v>1</v>
      </c>
      <c r="J7">
        <v>4</v>
      </c>
      <c r="K7">
        <v>2</v>
      </c>
      <c r="L7">
        <v>4</v>
      </c>
      <c r="M7">
        <v>4</v>
      </c>
      <c r="N7">
        <v>3</v>
      </c>
      <c r="O7">
        <v>2</v>
      </c>
      <c r="P7">
        <v>3</v>
      </c>
      <c r="Q7">
        <v>3</v>
      </c>
      <c r="R7">
        <v>3</v>
      </c>
      <c r="S7">
        <v>5</v>
      </c>
      <c r="T7">
        <v>2</v>
      </c>
      <c r="U7">
        <v>4</v>
      </c>
      <c r="V7">
        <v>4</v>
      </c>
      <c r="W7">
        <v>3</v>
      </c>
      <c r="X7">
        <v>4</v>
      </c>
      <c r="Y7">
        <v>3</v>
      </c>
      <c r="Z7">
        <v>3</v>
      </c>
      <c r="AA7">
        <v>4</v>
      </c>
      <c r="AB7">
        <v>4</v>
      </c>
      <c r="AC7">
        <v>4</v>
      </c>
      <c r="AD7">
        <v>3</v>
      </c>
      <c r="AE7">
        <v>5</v>
      </c>
      <c r="AF7">
        <v>5</v>
      </c>
    </row>
    <row r="8" spans="2:32" x14ac:dyDescent="0.2">
      <c r="B8" t="s">
        <v>32</v>
      </c>
      <c r="C8">
        <v>4</v>
      </c>
      <c r="D8">
        <v>4</v>
      </c>
      <c r="E8">
        <v>3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5</v>
      </c>
      <c r="N8">
        <v>4</v>
      </c>
      <c r="O8">
        <v>4</v>
      </c>
      <c r="P8">
        <v>3</v>
      </c>
      <c r="Q8">
        <v>4</v>
      </c>
      <c r="R8">
        <v>4</v>
      </c>
      <c r="S8">
        <v>5</v>
      </c>
      <c r="T8">
        <v>4</v>
      </c>
      <c r="U8">
        <v>3</v>
      </c>
      <c r="V8">
        <v>4</v>
      </c>
      <c r="W8">
        <v>3</v>
      </c>
      <c r="X8">
        <v>4</v>
      </c>
      <c r="Y8">
        <v>4</v>
      </c>
      <c r="Z8">
        <v>5</v>
      </c>
      <c r="AA8">
        <v>4</v>
      </c>
      <c r="AB8">
        <v>4</v>
      </c>
      <c r="AC8">
        <v>4</v>
      </c>
      <c r="AD8">
        <v>4</v>
      </c>
      <c r="AE8">
        <v>3</v>
      </c>
      <c r="AF8">
        <v>4</v>
      </c>
    </row>
    <row r="9" spans="2:32" x14ac:dyDescent="0.2">
      <c r="B9" t="s">
        <v>32</v>
      </c>
      <c r="C9">
        <v>4</v>
      </c>
      <c r="D9">
        <v>4</v>
      </c>
      <c r="E9">
        <v>3</v>
      </c>
      <c r="F9">
        <v>3</v>
      </c>
      <c r="G9">
        <v>3</v>
      </c>
      <c r="H9">
        <v>4</v>
      </c>
      <c r="I9">
        <v>4</v>
      </c>
      <c r="J9">
        <v>2</v>
      </c>
      <c r="K9">
        <v>4</v>
      </c>
      <c r="L9">
        <v>4</v>
      </c>
      <c r="M9">
        <v>4</v>
      </c>
      <c r="N9">
        <v>4</v>
      </c>
      <c r="O9">
        <v>4</v>
      </c>
      <c r="P9">
        <v>2</v>
      </c>
      <c r="Q9">
        <v>3</v>
      </c>
      <c r="R9">
        <v>3</v>
      </c>
      <c r="S9">
        <v>5</v>
      </c>
      <c r="T9">
        <v>3</v>
      </c>
      <c r="U9">
        <v>3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3</v>
      </c>
      <c r="AE9">
        <v>3</v>
      </c>
      <c r="AF9">
        <v>4</v>
      </c>
    </row>
    <row r="10" spans="2:32" x14ac:dyDescent="0.2">
      <c r="B10" t="s">
        <v>32</v>
      </c>
      <c r="C10">
        <v>4</v>
      </c>
      <c r="D10">
        <v>4</v>
      </c>
      <c r="E10">
        <v>3</v>
      </c>
      <c r="F10">
        <v>3</v>
      </c>
      <c r="G10">
        <v>4</v>
      </c>
      <c r="H10">
        <v>2</v>
      </c>
      <c r="I10">
        <v>4</v>
      </c>
      <c r="J10">
        <v>3</v>
      </c>
      <c r="K10">
        <v>2</v>
      </c>
      <c r="L10">
        <v>3</v>
      </c>
      <c r="M10">
        <v>4</v>
      </c>
      <c r="N10">
        <v>4</v>
      </c>
      <c r="O10">
        <v>2</v>
      </c>
      <c r="P10">
        <v>4</v>
      </c>
      <c r="Q10">
        <v>3</v>
      </c>
      <c r="R10">
        <v>4</v>
      </c>
      <c r="S10">
        <v>4</v>
      </c>
      <c r="T10">
        <v>1</v>
      </c>
      <c r="U10">
        <v>4</v>
      </c>
      <c r="V10">
        <v>4</v>
      </c>
      <c r="W10">
        <v>2</v>
      </c>
      <c r="X10">
        <v>4</v>
      </c>
      <c r="Y10">
        <v>3</v>
      </c>
      <c r="Z10">
        <v>5</v>
      </c>
      <c r="AA10">
        <v>4</v>
      </c>
      <c r="AB10">
        <v>3</v>
      </c>
      <c r="AC10">
        <v>3</v>
      </c>
      <c r="AD10">
        <v>3</v>
      </c>
      <c r="AE10">
        <v>4</v>
      </c>
      <c r="AF10">
        <v>4</v>
      </c>
    </row>
    <row r="11" spans="2:32" x14ac:dyDescent="0.2">
      <c r="B11" t="s">
        <v>32</v>
      </c>
      <c r="C11">
        <v>5</v>
      </c>
      <c r="D11">
        <v>5</v>
      </c>
      <c r="E11">
        <v>5</v>
      </c>
      <c r="F11">
        <v>4</v>
      </c>
      <c r="G11">
        <v>4</v>
      </c>
      <c r="H11">
        <v>5</v>
      </c>
      <c r="I11">
        <v>5</v>
      </c>
      <c r="J11">
        <v>4</v>
      </c>
      <c r="K11">
        <v>4</v>
      </c>
      <c r="L11">
        <v>5</v>
      </c>
      <c r="M11">
        <v>5</v>
      </c>
      <c r="N11">
        <v>5</v>
      </c>
      <c r="O11">
        <v>5</v>
      </c>
      <c r="P11">
        <v>4</v>
      </c>
      <c r="Q11">
        <v>4</v>
      </c>
      <c r="R11">
        <v>4</v>
      </c>
      <c r="S11">
        <v>5</v>
      </c>
      <c r="T11">
        <v>5</v>
      </c>
      <c r="U11">
        <v>5</v>
      </c>
      <c r="V11">
        <v>5</v>
      </c>
      <c r="W11">
        <v>3</v>
      </c>
      <c r="X11">
        <v>5</v>
      </c>
      <c r="Y11">
        <v>5</v>
      </c>
      <c r="Z11">
        <v>5</v>
      </c>
      <c r="AA11">
        <v>4</v>
      </c>
      <c r="AB11">
        <v>5</v>
      </c>
      <c r="AC11">
        <v>5</v>
      </c>
      <c r="AD11">
        <v>5</v>
      </c>
      <c r="AE11">
        <v>5</v>
      </c>
      <c r="AF11">
        <v>5</v>
      </c>
    </row>
    <row r="12" spans="2:32" x14ac:dyDescent="0.2">
      <c r="B12" t="s">
        <v>32</v>
      </c>
      <c r="C12">
        <v>4</v>
      </c>
      <c r="D12">
        <v>5</v>
      </c>
      <c r="E12">
        <v>3</v>
      </c>
      <c r="F12">
        <v>3</v>
      </c>
      <c r="G12">
        <v>3</v>
      </c>
      <c r="H12">
        <v>4</v>
      </c>
      <c r="I12">
        <v>4</v>
      </c>
      <c r="J12">
        <v>4</v>
      </c>
      <c r="K12">
        <v>3</v>
      </c>
      <c r="L12">
        <v>4</v>
      </c>
      <c r="M12">
        <v>5</v>
      </c>
      <c r="N12">
        <v>3</v>
      </c>
      <c r="O12">
        <v>4</v>
      </c>
      <c r="P12">
        <v>3</v>
      </c>
      <c r="Q12">
        <v>3</v>
      </c>
      <c r="R12">
        <v>4</v>
      </c>
      <c r="S12">
        <v>5</v>
      </c>
      <c r="T12">
        <v>3</v>
      </c>
      <c r="U12">
        <v>4</v>
      </c>
      <c r="V12">
        <v>3</v>
      </c>
      <c r="W12">
        <v>4</v>
      </c>
      <c r="X12">
        <v>4</v>
      </c>
      <c r="Y12">
        <v>4</v>
      </c>
      <c r="Z12">
        <v>4</v>
      </c>
      <c r="AA12">
        <v>4</v>
      </c>
      <c r="AB12">
        <v>3</v>
      </c>
      <c r="AC12">
        <v>4</v>
      </c>
      <c r="AD12">
        <v>2</v>
      </c>
      <c r="AE12">
        <v>4</v>
      </c>
      <c r="AF12">
        <v>5</v>
      </c>
    </row>
    <row r="13" spans="2:32" x14ac:dyDescent="0.2">
      <c r="B13" t="s">
        <v>32</v>
      </c>
      <c r="C13">
        <v>4</v>
      </c>
      <c r="D13">
        <v>4</v>
      </c>
      <c r="E13">
        <v>3</v>
      </c>
      <c r="F13">
        <v>4</v>
      </c>
      <c r="G13">
        <v>4</v>
      </c>
      <c r="H13">
        <v>4</v>
      </c>
      <c r="I13">
        <v>4</v>
      </c>
      <c r="J13">
        <v>5</v>
      </c>
      <c r="K13">
        <v>4</v>
      </c>
      <c r="L13">
        <v>4</v>
      </c>
      <c r="M13">
        <v>5</v>
      </c>
      <c r="N13">
        <v>4</v>
      </c>
      <c r="O13">
        <v>3</v>
      </c>
      <c r="P13">
        <v>3</v>
      </c>
      <c r="Q13">
        <v>3</v>
      </c>
      <c r="R13">
        <v>4</v>
      </c>
      <c r="S13">
        <v>5</v>
      </c>
      <c r="T13">
        <v>3</v>
      </c>
      <c r="U13">
        <v>3</v>
      </c>
      <c r="V13">
        <v>4</v>
      </c>
      <c r="W13">
        <v>3</v>
      </c>
      <c r="X13">
        <v>4</v>
      </c>
      <c r="Y13">
        <v>4</v>
      </c>
      <c r="Z13">
        <v>5</v>
      </c>
      <c r="AA13">
        <v>3</v>
      </c>
      <c r="AB13">
        <v>4</v>
      </c>
      <c r="AC13">
        <v>4</v>
      </c>
      <c r="AD13">
        <v>4</v>
      </c>
      <c r="AE13">
        <v>3</v>
      </c>
      <c r="AF13">
        <v>4</v>
      </c>
    </row>
    <row r="14" spans="2:32" x14ac:dyDescent="0.2">
      <c r="B14" t="s">
        <v>32</v>
      </c>
      <c r="C14">
        <v>3</v>
      </c>
      <c r="D14">
        <v>5</v>
      </c>
      <c r="E14">
        <v>4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4</v>
      </c>
      <c r="N14">
        <v>3</v>
      </c>
      <c r="O14">
        <v>4</v>
      </c>
      <c r="P14">
        <v>3</v>
      </c>
      <c r="Q14">
        <v>3</v>
      </c>
      <c r="R14">
        <v>4</v>
      </c>
      <c r="S14">
        <v>5</v>
      </c>
      <c r="T14">
        <v>2</v>
      </c>
      <c r="U14">
        <v>3</v>
      </c>
      <c r="V14">
        <v>3</v>
      </c>
      <c r="W14">
        <v>4</v>
      </c>
      <c r="X14">
        <v>3</v>
      </c>
      <c r="Y14">
        <v>4</v>
      </c>
      <c r="Z14">
        <v>4</v>
      </c>
      <c r="AA14">
        <v>3</v>
      </c>
      <c r="AB14">
        <v>3</v>
      </c>
      <c r="AC14">
        <v>3</v>
      </c>
      <c r="AD14">
        <v>4</v>
      </c>
      <c r="AE14">
        <v>5</v>
      </c>
      <c r="AF14">
        <v>4</v>
      </c>
    </row>
    <row r="15" spans="2:32" x14ac:dyDescent="0.2">
      <c r="B15" t="s">
        <v>33</v>
      </c>
      <c r="C15">
        <v>5</v>
      </c>
      <c r="D15">
        <v>5</v>
      </c>
      <c r="E15">
        <v>4</v>
      </c>
      <c r="F15">
        <v>5</v>
      </c>
      <c r="G15">
        <v>5</v>
      </c>
      <c r="H15">
        <v>4</v>
      </c>
      <c r="I15">
        <v>5</v>
      </c>
      <c r="J15">
        <v>5</v>
      </c>
      <c r="K15">
        <v>4</v>
      </c>
      <c r="L15">
        <v>5</v>
      </c>
      <c r="M15">
        <v>5</v>
      </c>
      <c r="N15">
        <v>5</v>
      </c>
      <c r="O15">
        <v>4</v>
      </c>
      <c r="P15">
        <v>4</v>
      </c>
      <c r="Q15">
        <v>5</v>
      </c>
      <c r="R15">
        <v>4</v>
      </c>
      <c r="S15">
        <v>5</v>
      </c>
      <c r="T15">
        <v>3</v>
      </c>
      <c r="U15">
        <v>4</v>
      </c>
      <c r="V15">
        <v>5</v>
      </c>
      <c r="W15">
        <v>4</v>
      </c>
      <c r="X15">
        <v>5</v>
      </c>
      <c r="Y15">
        <v>5</v>
      </c>
      <c r="Z15">
        <v>4</v>
      </c>
      <c r="AA15">
        <v>4</v>
      </c>
      <c r="AB15">
        <v>4</v>
      </c>
      <c r="AC15">
        <v>5</v>
      </c>
      <c r="AD15">
        <v>4</v>
      </c>
      <c r="AE15">
        <v>4</v>
      </c>
      <c r="AF15">
        <v>5</v>
      </c>
    </row>
    <row r="16" spans="2:32" x14ac:dyDescent="0.2">
      <c r="B16" t="s">
        <v>33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3</v>
      </c>
      <c r="P16">
        <v>3</v>
      </c>
      <c r="Q16">
        <v>3</v>
      </c>
      <c r="R16">
        <v>4</v>
      </c>
      <c r="S16">
        <v>4</v>
      </c>
      <c r="T16">
        <v>4</v>
      </c>
      <c r="U16">
        <v>3</v>
      </c>
      <c r="V16">
        <v>4</v>
      </c>
      <c r="W16">
        <v>3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3</v>
      </c>
      <c r="AE16">
        <v>4</v>
      </c>
      <c r="AF16">
        <v>4</v>
      </c>
    </row>
    <row r="17" spans="2:32" x14ac:dyDescent="0.2">
      <c r="B17" t="s">
        <v>33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4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</row>
    <row r="18" spans="2:32" x14ac:dyDescent="0.2">
      <c r="B18" t="s">
        <v>33</v>
      </c>
      <c r="C18">
        <v>4</v>
      </c>
      <c r="D18">
        <v>4</v>
      </c>
      <c r="E18">
        <v>4</v>
      </c>
      <c r="F18">
        <v>3</v>
      </c>
      <c r="G18">
        <v>3</v>
      </c>
      <c r="H18">
        <v>4</v>
      </c>
      <c r="I18">
        <v>4</v>
      </c>
      <c r="J18">
        <v>5</v>
      </c>
      <c r="K18">
        <v>3</v>
      </c>
      <c r="L18">
        <v>3</v>
      </c>
      <c r="M18">
        <v>3</v>
      </c>
      <c r="N18">
        <v>4</v>
      </c>
      <c r="O18">
        <v>3</v>
      </c>
      <c r="P18">
        <v>4</v>
      </c>
      <c r="Q18">
        <v>4</v>
      </c>
      <c r="R18">
        <v>3</v>
      </c>
      <c r="S18">
        <v>5</v>
      </c>
      <c r="T18">
        <v>2</v>
      </c>
      <c r="U18">
        <v>3</v>
      </c>
      <c r="V18">
        <v>4</v>
      </c>
      <c r="W18">
        <v>4</v>
      </c>
      <c r="X18">
        <v>4</v>
      </c>
      <c r="Y18">
        <v>4</v>
      </c>
      <c r="Z18">
        <v>3</v>
      </c>
      <c r="AA18">
        <v>4</v>
      </c>
      <c r="AB18">
        <v>4</v>
      </c>
      <c r="AC18">
        <v>3</v>
      </c>
      <c r="AD18">
        <v>3</v>
      </c>
      <c r="AE18">
        <v>5</v>
      </c>
      <c r="AF18">
        <v>4</v>
      </c>
    </row>
    <row r="19" spans="2:32" x14ac:dyDescent="0.2">
      <c r="B19" t="s">
        <v>33</v>
      </c>
      <c r="C19">
        <v>4</v>
      </c>
      <c r="D19">
        <v>5</v>
      </c>
      <c r="E19">
        <v>4</v>
      </c>
      <c r="F19">
        <v>3</v>
      </c>
      <c r="G19">
        <v>4</v>
      </c>
      <c r="H19">
        <v>4</v>
      </c>
      <c r="I19">
        <v>4</v>
      </c>
      <c r="J19">
        <v>4</v>
      </c>
      <c r="K19">
        <v>3</v>
      </c>
      <c r="L19">
        <v>3</v>
      </c>
      <c r="M19">
        <v>4</v>
      </c>
      <c r="N19">
        <v>4</v>
      </c>
      <c r="O19">
        <v>4</v>
      </c>
      <c r="P19">
        <v>3</v>
      </c>
      <c r="Q19">
        <v>3</v>
      </c>
      <c r="R19">
        <v>3</v>
      </c>
      <c r="S19">
        <v>5</v>
      </c>
      <c r="T19">
        <v>3</v>
      </c>
      <c r="U19">
        <v>3</v>
      </c>
      <c r="V19">
        <v>4</v>
      </c>
      <c r="W19">
        <v>2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3</v>
      </c>
      <c r="AF19">
        <v>4</v>
      </c>
    </row>
    <row r="20" spans="2:32" x14ac:dyDescent="0.2">
      <c r="B20" t="s">
        <v>33</v>
      </c>
      <c r="C20">
        <v>5</v>
      </c>
      <c r="D20">
        <v>4</v>
      </c>
      <c r="E20">
        <v>4</v>
      </c>
      <c r="F20">
        <v>4</v>
      </c>
      <c r="G20">
        <v>4</v>
      </c>
      <c r="H20">
        <v>3</v>
      </c>
      <c r="I20">
        <v>4</v>
      </c>
      <c r="J20">
        <v>4</v>
      </c>
      <c r="K20">
        <v>2</v>
      </c>
      <c r="L20">
        <v>2</v>
      </c>
      <c r="M20">
        <v>3</v>
      </c>
      <c r="N20">
        <v>4</v>
      </c>
      <c r="O20">
        <v>2</v>
      </c>
      <c r="P20">
        <v>2</v>
      </c>
      <c r="Q20">
        <v>3</v>
      </c>
      <c r="R20">
        <v>3</v>
      </c>
      <c r="S20">
        <v>4</v>
      </c>
      <c r="T20">
        <v>2</v>
      </c>
      <c r="U20">
        <v>3</v>
      </c>
      <c r="V20">
        <v>3</v>
      </c>
      <c r="W20">
        <v>3</v>
      </c>
      <c r="X20">
        <v>4</v>
      </c>
      <c r="Y20">
        <v>4</v>
      </c>
      <c r="Z20">
        <v>3</v>
      </c>
      <c r="AA20">
        <v>2</v>
      </c>
      <c r="AB20">
        <v>3</v>
      </c>
      <c r="AC20">
        <v>4</v>
      </c>
      <c r="AD20">
        <v>3</v>
      </c>
      <c r="AE20">
        <v>3</v>
      </c>
      <c r="AF20">
        <v>4</v>
      </c>
    </row>
    <row r="21" spans="2:32" x14ac:dyDescent="0.2">
      <c r="B21" t="s">
        <v>33</v>
      </c>
      <c r="C21">
        <v>5</v>
      </c>
      <c r="D21">
        <v>5</v>
      </c>
      <c r="E21">
        <v>3</v>
      </c>
      <c r="F21">
        <v>2</v>
      </c>
      <c r="G21">
        <v>4</v>
      </c>
      <c r="H21">
        <v>4</v>
      </c>
      <c r="I21">
        <v>4</v>
      </c>
      <c r="J21">
        <v>4</v>
      </c>
      <c r="K21">
        <v>3</v>
      </c>
      <c r="L21">
        <v>3</v>
      </c>
      <c r="M21">
        <v>4</v>
      </c>
      <c r="N21">
        <v>4</v>
      </c>
      <c r="O21">
        <v>3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5</v>
      </c>
      <c r="W21">
        <v>2</v>
      </c>
      <c r="X21">
        <v>4</v>
      </c>
      <c r="Y21">
        <v>4</v>
      </c>
      <c r="Z21">
        <v>4</v>
      </c>
      <c r="AA21">
        <v>4</v>
      </c>
      <c r="AB21">
        <v>4</v>
      </c>
      <c r="AC21">
        <v>3</v>
      </c>
      <c r="AD21">
        <v>4</v>
      </c>
      <c r="AE21">
        <v>4</v>
      </c>
      <c r="AF21">
        <v>4</v>
      </c>
    </row>
    <row r="22" spans="2:32" x14ac:dyDescent="0.2">
      <c r="B22" t="s">
        <v>31</v>
      </c>
      <c r="C22">
        <v>3</v>
      </c>
      <c r="D22">
        <v>4</v>
      </c>
      <c r="E22">
        <v>3</v>
      </c>
      <c r="F22">
        <v>3</v>
      </c>
      <c r="G22">
        <v>2</v>
      </c>
      <c r="H22">
        <v>4</v>
      </c>
      <c r="I22">
        <v>4</v>
      </c>
      <c r="J22">
        <v>4</v>
      </c>
      <c r="K22">
        <v>3</v>
      </c>
      <c r="L22">
        <v>3</v>
      </c>
      <c r="M22">
        <v>4</v>
      </c>
      <c r="N22">
        <v>4</v>
      </c>
      <c r="O22">
        <v>2</v>
      </c>
      <c r="P22">
        <v>2</v>
      </c>
      <c r="Q22">
        <v>3</v>
      </c>
      <c r="R22">
        <v>3</v>
      </c>
      <c r="S22">
        <v>4</v>
      </c>
      <c r="T22">
        <v>3</v>
      </c>
      <c r="U22">
        <v>3</v>
      </c>
      <c r="V22">
        <v>3</v>
      </c>
      <c r="W22">
        <v>3</v>
      </c>
      <c r="X22">
        <v>4</v>
      </c>
      <c r="Y22">
        <v>3</v>
      </c>
      <c r="Z22">
        <v>4</v>
      </c>
      <c r="AA22">
        <v>4</v>
      </c>
      <c r="AB22">
        <v>3</v>
      </c>
      <c r="AC22">
        <v>3</v>
      </c>
      <c r="AD22">
        <v>4</v>
      </c>
      <c r="AE22">
        <v>4</v>
      </c>
      <c r="AF22">
        <v>4</v>
      </c>
    </row>
    <row r="23" spans="2:32" x14ac:dyDescent="0.2">
      <c r="B23" t="s">
        <v>31</v>
      </c>
      <c r="C23">
        <v>3</v>
      </c>
      <c r="D23">
        <v>4</v>
      </c>
      <c r="E23">
        <v>4</v>
      </c>
      <c r="F23">
        <v>3</v>
      </c>
      <c r="G23">
        <v>4</v>
      </c>
      <c r="H23">
        <v>4</v>
      </c>
      <c r="I23">
        <v>4</v>
      </c>
      <c r="J23">
        <v>4</v>
      </c>
      <c r="K23">
        <v>4</v>
      </c>
      <c r="L23">
        <v>3</v>
      </c>
      <c r="M23">
        <v>4</v>
      </c>
      <c r="N23">
        <v>4</v>
      </c>
      <c r="O23">
        <v>4</v>
      </c>
      <c r="P23">
        <v>4</v>
      </c>
      <c r="Q23">
        <v>3</v>
      </c>
      <c r="R23">
        <v>3</v>
      </c>
      <c r="S23">
        <v>4</v>
      </c>
      <c r="T23">
        <v>1</v>
      </c>
      <c r="U23">
        <v>2</v>
      </c>
      <c r="V23">
        <v>3</v>
      </c>
      <c r="W23">
        <v>3</v>
      </c>
      <c r="X23">
        <v>4</v>
      </c>
      <c r="Y23">
        <v>3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2</v>
      </c>
      <c r="AF23">
        <v>3</v>
      </c>
    </row>
    <row r="24" spans="2:32" x14ac:dyDescent="0.2">
      <c r="B24" t="s">
        <v>31</v>
      </c>
      <c r="C24">
        <v>4</v>
      </c>
      <c r="D24">
        <v>4</v>
      </c>
      <c r="E24">
        <v>3</v>
      </c>
      <c r="F24">
        <v>3</v>
      </c>
      <c r="G24">
        <v>3</v>
      </c>
      <c r="H24">
        <v>4</v>
      </c>
      <c r="I24">
        <v>4</v>
      </c>
      <c r="J24">
        <v>4</v>
      </c>
      <c r="K24">
        <v>3</v>
      </c>
      <c r="L24">
        <v>3</v>
      </c>
      <c r="M24">
        <v>4</v>
      </c>
      <c r="N24">
        <v>3</v>
      </c>
      <c r="O24">
        <v>3</v>
      </c>
      <c r="P24">
        <v>3</v>
      </c>
      <c r="Q24">
        <v>3</v>
      </c>
      <c r="R24">
        <v>4</v>
      </c>
      <c r="S24">
        <v>4</v>
      </c>
      <c r="T24">
        <v>4</v>
      </c>
      <c r="U24">
        <v>4</v>
      </c>
      <c r="V24">
        <v>4</v>
      </c>
      <c r="W24">
        <v>3</v>
      </c>
      <c r="X24">
        <v>4</v>
      </c>
      <c r="Y24">
        <v>4</v>
      </c>
      <c r="Z24">
        <v>4</v>
      </c>
      <c r="AA24">
        <v>3</v>
      </c>
      <c r="AB24">
        <v>3</v>
      </c>
      <c r="AC24">
        <v>3</v>
      </c>
      <c r="AD24">
        <v>4</v>
      </c>
      <c r="AE24">
        <v>3</v>
      </c>
      <c r="AF24">
        <v>4</v>
      </c>
    </row>
    <row r="25" spans="2:32" x14ac:dyDescent="0.2">
      <c r="B25" t="s">
        <v>31</v>
      </c>
      <c r="C25">
        <v>4</v>
      </c>
      <c r="D25">
        <v>4</v>
      </c>
      <c r="E25">
        <v>3</v>
      </c>
      <c r="F25">
        <v>3</v>
      </c>
      <c r="G25">
        <v>3</v>
      </c>
      <c r="H25">
        <v>3</v>
      </c>
      <c r="I25">
        <v>4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4</v>
      </c>
      <c r="V25">
        <v>4</v>
      </c>
      <c r="W25">
        <v>3</v>
      </c>
      <c r="X25">
        <v>4</v>
      </c>
      <c r="Y25">
        <v>4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</row>
    <row r="26" spans="2:32" x14ac:dyDescent="0.2">
      <c r="B26" t="s">
        <v>31</v>
      </c>
      <c r="C26">
        <v>4</v>
      </c>
      <c r="D26">
        <v>5</v>
      </c>
      <c r="E26">
        <v>5</v>
      </c>
      <c r="F26">
        <v>5</v>
      </c>
      <c r="G26">
        <v>2</v>
      </c>
      <c r="H26">
        <v>4</v>
      </c>
      <c r="I26">
        <v>4</v>
      </c>
      <c r="J26">
        <v>3</v>
      </c>
      <c r="K26">
        <v>3</v>
      </c>
      <c r="L26">
        <v>4</v>
      </c>
      <c r="M26">
        <v>3</v>
      </c>
      <c r="N26">
        <v>3</v>
      </c>
      <c r="O26">
        <v>2</v>
      </c>
      <c r="P26">
        <v>4</v>
      </c>
      <c r="Q26">
        <v>3</v>
      </c>
      <c r="R26">
        <v>3</v>
      </c>
      <c r="S26">
        <v>5</v>
      </c>
      <c r="T26">
        <v>3</v>
      </c>
      <c r="U26">
        <v>4</v>
      </c>
      <c r="V26">
        <v>4</v>
      </c>
      <c r="W26">
        <v>4</v>
      </c>
      <c r="X26">
        <v>5</v>
      </c>
      <c r="Y26">
        <v>3</v>
      </c>
      <c r="Z26">
        <v>1</v>
      </c>
      <c r="AA26">
        <v>3</v>
      </c>
      <c r="AB26">
        <v>5</v>
      </c>
      <c r="AC26">
        <v>4</v>
      </c>
      <c r="AD26">
        <v>3</v>
      </c>
      <c r="AE26">
        <v>5</v>
      </c>
      <c r="AF26">
        <v>4</v>
      </c>
    </row>
    <row r="27" spans="2:32" x14ac:dyDescent="0.2">
      <c r="B27" t="s">
        <v>31</v>
      </c>
      <c r="C27">
        <v>4</v>
      </c>
      <c r="D27">
        <v>4</v>
      </c>
      <c r="E27">
        <v>4</v>
      </c>
      <c r="F27">
        <v>3</v>
      </c>
      <c r="G27">
        <v>4</v>
      </c>
      <c r="H27">
        <v>3</v>
      </c>
      <c r="I27">
        <v>2</v>
      </c>
      <c r="J27">
        <v>4</v>
      </c>
      <c r="K27">
        <v>3</v>
      </c>
      <c r="L27">
        <v>3</v>
      </c>
      <c r="M27">
        <v>4</v>
      </c>
      <c r="N27">
        <v>4</v>
      </c>
      <c r="O27">
        <v>3</v>
      </c>
      <c r="P27">
        <v>3</v>
      </c>
      <c r="Q27">
        <v>3</v>
      </c>
      <c r="R27">
        <v>2</v>
      </c>
      <c r="S27">
        <v>4</v>
      </c>
      <c r="T27">
        <v>2</v>
      </c>
      <c r="U27">
        <v>4</v>
      </c>
      <c r="V27">
        <v>3</v>
      </c>
      <c r="W27">
        <v>1</v>
      </c>
      <c r="X27">
        <v>3</v>
      </c>
      <c r="Y27">
        <v>3</v>
      </c>
      <c r="Z27">
        <v>4</v>
      </c>
      <c r="AA27">
        <v>3</v>
      </c>
      <c r="AB27">
        <v>2</v>
      </c>
      <c r="AC27">
        <v>3</v>
      </c>
      <c r="AD27">
        <v>3</v>
      </c>
      <c r="AE27">
        <v>3</v>
      </c>
      <c r="AF27">
        <v>4</v>
      </c>
    </row>
    <row r="28" spans="2:32" x14ac:dyDescent="0.2">
      <c r="B28" t="s">
        <v>31</v>
      </c>
      <c r="C28">
        <v>3</v>
      </c>
      <c r="D28">
        <v>3</v>
      </c>
      <c r="E28">
        <v>3</v>
      </c>
      <c r="F28">
        <v>2</v>
      </c>
      <c r="G28">
        <v>3</v>
      </c>
      <c r="H28">
        <v>4</v>
      </c>
      <c r="I28">
        <v>3</v>
      </c>
      <c r="J28">
        <v>3</v>
      </c>
      <c r="K28">
        <v>4</v>
      </c>
      <c r="L28">
        <v>3</v>
      </c>
      <c r="M28">
        <v>4</v>
      </c>
      <c r="N28">
        <v>2</v>
      </c>
      <c r="O28">
        <v>3</v>
      </c>
      <c r="P28">
        <v>5</v>
      </c>
      <c r="Q28">
        <v>3</v>
      </c>
      <c r="R28">
        <v>3</v>
      </c>
      <c r="S28">
        <v>5</v>
      </c>
      <c r="T28">
        <v>2</v>
      </c>
      <c r="U28">
        <v>4</v>
      </c>
      <c r="V28">
        <v>3</v>
      </c>
      <c r="W28">
        <v>3</v>
      </c>
      <c r="X28">
        <v>4</v>
      </c>
      <c r="Y28">
        <v>3</v>
      </c>
      <c r="Z28">
        <v>2</v>
      </c>
      <c r="AA28">
        <v>3</v>
      </c>
      <c r="AB28">
        <v>3</v>
      </c>
      <c r="AC28">
        <v>3</v>
      </c>
      <c r="AD28">
        <v>4</v>
      </c>
      <c r="AE28">
        <v>4</v>
      </c>
      <c r="AF28">
        <v>4</v>
      </c>
    </row>
    <row r="29" spans="2:32" x14ac:dyDescent="0.2">
      <c r="B29" t="s">
        <v>31</v>
      </c>
      <c r="C29">
        <v>5</v>
      </c>
      <c r="D29">
        <v>3</v>
      </c>
      <c r="E29">
        <v>4</v>
      </c>
      <c r="F29">
        <v>5</v>
      </c>
      <c r="G29">
        <v>4</v>
      </c>
      <c r="H29">
        <v>3</v>
      </c>
      <c r="I29">
        <v>2</v>
      </c>
      <c r="J29">
        <v>4</v>
      </c>
      <c r="K29">
        <v>2</v>
      </c>
      <c r="L29">
        <v>3</v>
      </c>
      <c r="M29">
        <v>5</v>
      </c>
      <c r="N29">
        <v>5</v>
      </c>
      <c r="O29">
        <v>4</v>
      </c>
      <c r="P29">
        <v>5</v>
      </c>
      <c r="Q29">
        <v>2</v>
      </c>
      <c r="R29">
        <v>4</v>
      </c>
      <c r="S29">
        <v>5</v>
      </c>
      <c r="T29">
        <v>1</v>
      </c>
      <c r="U29">
        <v>4</v>
      </c>
      <c r="V29">
        <v>5</v>
      </c>
      <c r="W29">
        <v>3</v>
      </c>
      <c r="X29">
        <v>4</v>
      </c>
      <c r="Y29">
        <v>3</v>
      </c>
      <c r="Z29">
        <v>4</v>
      </c>
      <c r="AA29">
        <v>1</v>
      </c>
      <c r="AB29">
        <v>4</v>
      </c>
      <c r="AC29">
        <v>3</v>
      </c>
      <c r="AD29">
        <v>2</v>
      </c>
      <c r="AE29">
        <v>3</v>
      </c>
      <c r="AF29">
        <v>4</v>
      </c>
    </row>
    <row r="30" spans="2:32" x14ac:dyDescent="0.2">
      <c r="B30" t="s">
        <v>31</v>
      </c>
      <c r="C30">
        <v>5</v>
      </c>
      <c r="D30">
        <v>4</v>
      </c>
      <c r="E30">
        <v>4</v>
      </c>
      <c r="F30">
        <v>5</v>
      </c>
      <c r="G30">
        <v>5</v>
      </c>
      <c r="H30">
        <v>5</v>
      </c>
      <c r="I30">
        <v>5</v>
      </c>
      <c r="J30">
        <v>5</v>
      </c>
      <c r="K30">
        <v>3</v>
      </c>
      <c r="L30">
        <v>3</v>
      </c>
      <c r="M30">
        <v>4</v>
      </c>
      <c r="N30">
        <v>5</v>
      </c>
      <c r="O30">
        <v>5</v>
      </c>
      <c r="P30">
        <v>4</v>
      </c>
      <c r="Q30">
        <v>4</v>
      </c>
      <c r="R30">
        <v>5</v>
      </c>
      <c r="S30">
        <v>5</v>
      </c>
      <c r="T30">
        <v>2</v>
      </c>
      <c r="U30">
        <v>4</v>
      </c>
      <c r="V30">
        <v>5</v>
      </c>
      <c r="W30">
        <v>3</v>
      </c>
      <c r="X30">
        <v>5</v>
      </c>
      <c r="Y30">
        <v>4</v>
      </c>
      <c r="Z30">
        <v>3</v>
      </c>
      <c r="AA30">
        <v>2</v>
      </c>
      <c r="AB30">
        <v>4</v>
      </c>
      <c r="AC30">
        <v>3</v>
      </c>
      <c r="AD30">
        <v>4</v>
      </c>
      <c r="AE30">
        <v>5</v>
      </c>
      <c r="AF30">
        <v>5</v>
      </c>
    </row>
    <row r="31" spans="2:32" x14ac:dyDescent="0.2">
      <c r="B31" t="s">
        <v>31</v>
      </c>
      <c r="C31">
        <v>5</v>
      </c>
      <c r="D31">
        <v>5</v>
      </c>
      <c r="E31">
        <v>5</v>
      </c>
      <c r="F31">
        <v>4</v>
      </c>
      <c r="G31">
        <v>4</v>
      </c>
      <c r="H31">
        <v>5</v>
      </c>
      <c r="I31">
        <v>5</v>
      </c>
      <c r="J31">
        <v>4</v>
      </c>
      <c r="K31">
        <v>4</v>
      </c>
      <c r="L31">
        <v>5</v>
      </c>
      <c r="M31">
        <v>5</v>
      </c>
      <c r="N31">
        <v>4</v>
      </c>
      <c r="O31">
        <v>5</v>
      </c>
      <c r="P31">
        <v>4</v>
      </c>
      <c r="Q31">
        <v>4</v>
      </c>
      <c r="R31">
        <v>4</v>
      </c>
      <c r="S31">
        <v>5</v>
      </c>
      <c r="T31">
        <v>4</v>
      </c>
      <c r="U31">
        <v>4</v>
      </c>
      <c r="V31">
        <v>5</v>
      </c>
      <c r="W31">
        <v>4</v>
      </c>
      <c r="X31">
        <v>4</v>
      </c>
      <c r="Y31">
        <v>4</v>
      </c>
      <c r="Z31">
        <v>5</v>
      </c>
      <c r="AA31">
        <v>4</v>
      </c>
      <c r="AB31">
        <v>5</v>
      </c>
      <c r="AC31">
        <v>5</v>
      </c>
      <c r="AD31">
        <v>4</v>
      </c>
      <c r="AE31">
        <v>4</v>
      </c>
      <c r="AF31">
        <v>5</v>
      </c>
    </row>
    <row r="32" spans="2:32" x14ac:dyDescent="0.2">
      <c r="B32" t="s">
        <v>31</v>
      </c>
      <c r="C32">
        <v>4</v>
      </c>
      <c r="D32">
        <v>4</v>
      </c>
      <c r="E32">
        <v>4</v>
      </c>
      <c r="F32">
        <v>3</v>
      </c>
      <c r="G32">
        <v>3</v>
      </c>
      <c r="H32">
        <v>4</v>
      </c>
      <c r="I32">
        <v>4</v>
      </c>
      <c r="J32">
        <v>4</v>
      </c>
      <c r="K32">
        <v>4</v>
      </c>
      <c r="L32">
        <v>3</v>
      </c>
      <c r="M32">
        <v>4</v>
      </c>
      <c r="N32">
        <v>3</v>
      </c>
      <c r="O32">
        <v>4</v>
      </c>
      <c r="P32">
        <v>5</v>
      </c>
      <c r="Q32">
        <v>3</v>
      </c>
      <c r="R32">
        <v>3</v>
      </c>
      <c r="S32">
        <v>5</v>
      </c>
      <c r="T32">
        <v>3</v>
      </c>
      <c r="U32">
        <v>5</v>
      </c>
      <c r="V32">
        <v>5</v>
      </c>
      <c r="W32">
        <v>5</v>
      </c>
      <c r="X32">
        <v>4</v>
      </c>
      <c r="Y32">
        <v>3</v>
      </c>
      <c r="Z32">
        <v>4</v>
      </c>
      <c r="AA32">
        <v>4</v>
      </c>
      <c r="AB32">
        <v>5</v>
      </c>
      <c r="AC32">
        <v>3</v>
      </c>
      <c r="AD32">
        <v>4</v>
      </c>
      <c r="AE32">
        <v>4</v>
      </c>
      <c r="AF32">
        <v>4</v>
      </c>
    </row>
    <row r="33" spans="2:32" x14ac:dyDescent="0.2">
      <c r="B33" t="s">
        <v>31</v>
      </c>
      <c r="C33">
        <v>3</v>
      </c>
      <c r="D33">
        <v>4</v>
      </c>
      <c r="E33">
        <v>5</v>
      </c>
      <c r="F33">
        <v>2</v>
      </c>
      <c r="G33">
        <v>2</v>
      </c>
      <c r="H33">
        <v>3</v>
      </c>
      <c r="I33">
        <v>3</v>
      </c>
      <c r="J33">
        <v>2</v>
      </c>
      <c r="K33">
        <v>4</v>
      </c>
      <c r="L33">
        <v>2</v>
      </c>
      <c r="M33">
        <v>4</v>
      </c>
      <c r="N33">
        <v>2</v>
      </c>
      <c r="O33">
        <v>3</v>
      </c>
      <c r="P33">
        <v>3</v>
      </c>
      <c r="Q33">
        <v>3</v>
      </c>
      <c r="R33">
        <v>3</v>
      </c>
      <c r="S33">
        <v>4</v>
      </c>
      <c r="T33">
        <v>1</v>
      </c>
      <c r="U33">
        <v>4</v>
      </c>
      <c r="V33">
        <v>5</v>
      </c>
      <c r="W33">
        <v>3</v>
      </c>
      <c r="X33">
        <v>3</v>
      </c>
      <c r="Y33">
        <v>2</v>
      </c>
      <c r="Z33">
        <v>3</v>
      </c>
      <c r="AA33">
        <v>3</v>
      </c>
      <c r="AB33">
        <v>4</v>
      </c>
      <c r="AC33">
        <v>3</v>
      </c>
      <c r="AD33">
        <v>2</v>
      </c>
      <c r="AE33">
        <v>3</v>
      </c>
      <c r="AF33">
        <v>5</v>
      </c>
    </row>
    <row r="34" spans="2:32" x14ac:dyDescent="0.2">
      <c r="B34" t="s">
        <v>31</v>
      </c>
      <c r="C34">
        <v>4</v>
      </c>
      <c r="D34">
        <v>4</v>
      </c>
      <c r="E34">
        <v>3</v>
      </c>
      <c r="F34">
        <v>5</v>
      </c>
      <c r="G34">
        <v>4</v>
      </c>
      <c r="H34">
        <v>3</v>
      </c>
      <c r="I34">
        <v>3</v>
      </c>
      <c r="J34">
        <v>4</v>
      </c>
      <c r="K34">
        <v>4</v>
      </c>
      <c r="L34">
        <v>3</v>
      </c>
      <c r="M34">
        <v>5</v>
      </c>
      <c r="N34">
        <v>3</v>
      </c>
      <c r="O34">
        <v>3</v>
      </c>
      <c r="P34">
        <v>4</v>
      </c>
      <c r="Q34">
        <v>4</v>
      </c>
      <c r="R34">
        <v>4</v>
      </c>
      <c r="S34">
        <v>5</v>
      </c>
      <c r="T34">
        <v>3</v>
      </c>
      <c r="U34">
        <v>4</v>
      </c>
      <c r="V34">
        <v>4</v>
      </c>
      <c r="W34">
        <v>4</v>
      </c>
      <c r="X34">
        <v>5</v>
      </c>
      <c r="Y34">
        <v>4</v>
      </c>
      <c r="Z34">
        <v>4</v>
      </c>
      <c r="AA34">
        <v>4</v>
      </c>
      <c r="AB34">
        <v>4</v>
      </c>
      <c r="AC34">
        <v>3</v>
      </c>
      <c r="AD34">
        <v>3</v>
      </c>
      <c r="AE34">
        <v>4</v>
      </c>
      <c r="AF34">
        <v>4</v>
      </c>
    </row>
    <row r="35" spans="2:32" x14ac:dyDescent="0.2">
      <c r="B35" t="s">
        <v>31</v>
      </c>
      <c r="C35">
        <v>5</v>
      </c>
      <c r="D35">
        <v>5</v>
      </c>
      <c r="E35">
        <v>5</v>
      </c>
      <c r="F35">
        <v>5</v>
      </c>
      <c r="G35">
        <v>4</v>
      </c>
      <c r="H35">
        <v>5</v>
      </c>
      <c r="I35">
        <v>4</v>
      </c>
      <c r="J35">
        <v>5</v>
      </c>
      <c r="K35">
        <v>3</v>
      </c>
      <c r="L35">
        <v>5</v>
      </c>
      <c r="M35">
        <v>4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4</v>
      </c>
      <c r="U35">
        <v>4</v>
      </c>
      <c r="V35">
        <v>5</v>
      </c>
      <c r="W35">
        <v>3</v>
      </c>
      <c r="X35">
        <v>5</v>
      </c>
      <c r="Y35">
        <v>5</v>
      </c>
      <c r="Z35">
        <v>5</v>
      </c>
      <c r="AA35">
        <v>4</v>
      </c>
      <c r="AB35">
        <v>5</v>
      </c>
      <c r="AC35">
        <v>5</v>
      </c>
      <c r="AD35">
        <v>5</v>
      </c>
      <c r="AE35">
        <v>4</v>
      </c>
      <c r="AF35">
        <v>5</v>
      </c>
    </row>
    <row r="36" spans="2:32" x14ac:dyDescent="0.2">
      <c r="B36" t="s">
        <v>31</v>
      </c>
      <c r="C36">
        <v>2</v>
      </c>
      <c r="D36">
        <v>4</v>
      </c>
      <c r="E36">
        <v>3</v>
      </c>
      <c r="F36">
        <v>2</v>
      </c>
      <c r="G36">
        <v>3</v>
      </c>
      <c r="H36">
        <v>3</v>
      </c>
      <c r="I36">
        <v>3</v>
      </c>
      <c r="J36">
        <v>4</v>
      </c>
      <c r="K36">
        <v>3</v>
      </c>
      <c r="L36">
        <v>2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2</v>
      </c>
      <c r="U36">
        <v>3</v>
      </c>
      <c r="V36">
        <v>3</v>
      </c>
      <c r="W36">
        <v>3</v>
      </c>
      <c r="X36">
        <v>3</v>
      </c>
      <c r="Y36">
        <v>4</v>
      </c>
      <c r="Z36">
        <v>4</v>
      </c>
      <c r="AA36">
        <v>4</v>
      </c>
      <c r="AB36">
        <v>3</v>
      </c>
      <c r="AC36">
        <v>3</v>
      </c>
      <c r="AD36">
        <v>4</v>
      </c>
      <c r="AE36">
        <v>3</v>
      </c>
      <c r="AF36">
        <v>4</v>
      </c>
    </row>
    <row r="37" spans="2:32" x14ac:dyDescent="0.2">
      <c r="B37" t="s">
        <v>31</v>
      </c>
      <c r="C37">
        <v>5</v>
      </c>
      <c r="D37">
        <v>5</v>
      </c>
      <c r="E37">
        <v>4</v>
      </c>
      <c r="F37">
        <v>4</v>
      </c>
      <c r="G37">
        <v>4</v>
      </c>
      <c r="H37">
        <v>4</v>
      </c>
      <c r="I37">
        <v>4</v>
      </c>
      <c r="J37">
        <v>5</v>
      </c>
      <c r="K37">
        <v>3</v>
      </c>
      <c r="L37">
        <v>3</v>
      </c>
      <c r="M37">
        <v>5</v>
      </c>
      <c r="N37">
        <v>4</v>
      </c>
      <c r="O37">
        <v>3</v>
      </c>
      <c r="P37">
        <v>4</v>
      </c>
      <c r="Q37">
        <v>2</v>
      </c>
      <c r="R37">
        <v>3</v>
      </c>
      <c r="S37">
        <v>5</v>
      </c>
      <c r="T37">
        <v>2</v>
      </c>
      <c r="U37">
        <v>4</v>
      </c>
      <c r="V37">
        <v>5</v>
      </c>
      <c r="W37">
        <v>2</v>
      </c>
      <c r="X37">
        <v>5</v>
      </c>
      <c r="Y37">
        <v>3</v>
      </c>
      <c r="Z37">
        <v>4</v>
      </c>
      <c r="AA37">
        <v>3</v>
      </c>
      <c r="AB37">
        <v>3</v>
      </c>
      <c r="AC37">
        <v>4</v>
      </c>
      <c r="AD37">
        <v>4</v>
      </c>
      <c r="AE37">
        <v>3</v>
      </c>
      <c r="AF37">
        <v>3</v>
      </c>
    </row>
    <row r="38" spans="2:32" x14ac:dyDescent="0.2">
      <c r="B38" t="s">
        <v>31</v>
      </c>
      <c r="C38">
        <v>5</v>
      </c>
      <c r="D38">
        <v>4</v>
      </c>
      <c r="E38">
        <v>4</v>
      </c>
      <c r="F38">
        <v>5</v>
      </c>
      <c r="G38">
        <v>5</v>
      </c>
      <c r="H38">
        <v>4</v>
      </c>
      <c r="I38">
        <v>5</v>
      </c>
      <c r="J38">
        <v>4</v>
      </c>
      <c r="K38">
        <v>4</v>
      </c>
      <c r="L38">
        <v>5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3</v>
      </c>
      <c r="U38">
        <v>4</v>
      </c>
      <c r="V38">
        <v>4</v>
      </c>
      <c r="W38">
        <v>4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3</v>
      </c>
      <c r="AE38">
        <v>5</v>
      </c>
      <c r="AF38">
        <v>5</v>
      </c>
    </row>
    <row r="39" spans="2:32" x14ac:dyDescent="0.2">
      <c r="B39" t="s">
        <v>31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4</v>
      </c>
      <c r="P39">
        <v>4</v>
      </c>
      <c r="Q39">
        <v>5</v>
      </c>
      <c r="R39">
        <v>5</v>
      </c>
      <c r="S39">
        <v>5</v>
      </c>
      <c r="T39">
        <v>3</v>
      </c>
      <c r="U39">
        <v>4</v>
      </c>
      <c r="V39">
        <v>5</v>
      </c>
      <c r="W39">
        <v>3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4</v>
      </c>
      <c r="AE39">
        <v>5</v>
      </c>
      <c r="AF39">
        <v>5</v>
      </c>
    </row>
    <row r="40" spans="2:32" x14ac:dyDescent="0.2">
      <c r="B40" t="s">
        <v>31</v>
      </c>
      <c r="C40">
        <v>4</v>
      </c>
      <c r="D40">
        <v>4</v>
      </c>
      <c r="E40">
        <v>4</v>
      </c>
      <c r="F40">
        <v>4</v>
      </c>
      <c r="G40">
        <v>3</v>
      </c>
      <c r="H40">
        <v>5</v>
      </c>
      <c r="I40">
        <v>5</v>
      </c>
      <c r="J40">
        <v>4</v>
      </c>
      <c r="K40">
        <v>5</v>
      </c>
      <c r="L40">
        <v>4</v>
      </c>
      <c r="M40">
        <v>4</v>
      </c>
      <c r="N40">
        <v>4</v>
      </c>
      <c r="O40">
        <v>5</v>
      </c>
      <c r="P40">
        <v>4</v>
      </c>
      <c r="Q40">
        <v>4</v>
      </c>
      <c r="R40">
        <v>3</v>
      </c>
      <c r="S40">
        <v>5</v>
      </c>
      <c r="T40">
        <v>4</v>
      </c>
      <c r="U40">
        <v>4</v>
      </c>
      <c r="V40">
        <v>5</v>
      </c>
      <c r="W40">
        <v>5</v>
      </c>
      <c r="X40">
        <v>5</v>
      </c>
      <c r="Y40">
        <v>4</v>
      </c>
      <c r="Z40">
        <v>4</v>
      </c>
      <c r="AA40">
        <v>5</v>
      </c>
      <c r="AB40">
        <v>5</v>
      </c>
      <c r="AC40">
        <v>3</v>
      </c>
      <c r="AD40">
        <v>3</v>
      </c>
      <c r="AE40">
        <v>5</v>
      </c>
      <c r="AF40">
        <v>5</v>
      </c>
    </row>
    <row r="41" spans="2:32" x14ac:dyDescent="0.2">
      <c r="B41" t="s">
        <v>31</v>
      </c>
      <c r="C41">
        <v>5</v>
      </c>
      <c r="D41">
        <v>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</row>
    <row r="42" spans="2:32" x14ac:dyDescent="0.2">
      <c r="B42" t="s">
        <v>31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4</v>
      </c>
      <c r="L42">
        <v>4</v>
      </c>
      <c r="M42">
        <v>5</v>
      </c>
      <c r="N42">
        <v>4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4</v>
      </c>
      <c r="AB42">
        <v>5</v>
      </c>
      <c r="AC42">
        <v>5</v>
      </c>
      <c r="AD42">
        <v>5</v>
      </c>
      <c r="AE42">
        <v>5</v>
      </c>
      <c r="AF42">
        <v>5</v>
      </c>
    </row>
    <row r="43" spans="2:32" x14ac:dyDescent="0.2">
      <c r="B43" t="s">
        <v>31</v>
      </c>
      <c r="C43">
        <v>4</v>
      </c>
      <c r="D43">
        <v>5</v>
      </c>
      <c r="E43">
        <v>4</v>
      </c>
      <c r="F43">
        <v>3</v>
      </c>
      <c r="G43">
        <v>3</v>
      </c>
      <c r="H43">
        <v>3</v>
      </c>
      <c r="I43">
        <v>3</v>
      </c>
      <c r="J43">
        <v>3</v>
      </c>
      <c r="K43">
        <v>4</v>
      </c>
      <c r="L43">
        <v>4</v>
      </c>
      <c r="M43">
        <v>4</v>
      </c>
      <c r="N43">
        <v>4</v>
      </c>
      <c r="O43">
        <v>4</v>
      </c>
      <c r="P43">
        <v>3</v>
      </c>
      <c r="Q43">
        <v>3</v>
      </c>
      <c r="R43">
        <v>4</v>
      </c>
      <c r="S43">
        <v>4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4</v>
      </c>
      <c r="AA43">
        <v>3</v>
      </c>
      <c r="AB43">
        <v>3</v>
      </c>
      <c r="AC43">
        <v>3</v>
      </c>
      <c r="AD43">
        <v>3</v>
      </c>
      <c r="AE43">
        <v>4</v>
      </c>
      <c r="AF43">
        <v>4</v>
      </c>
    </row>
    <row r="44" spans="2:32" x14ac:dyDescent="0.2">
      <c r="B44" t="s">
        <v>31</v>
      </c>
      <c r="C44">
        <v>4</v>
      </c>
      <c r="D44">
        <v>5</v>
      </c>
      <c r="E44">
        <v>4</v>
      </c>
      <c r="F44">
        <v>4</v>
      </c>
      <c r="G44">
        <v>4</v>
      </c>
      <c r="H44">
        <v>4</v>
      </c>
      <c r="I44">
        <v>3</v>
      </c>
      <c r="J44">
        <v>3</v>
      </c>
      <c r="K44">
        <v>2</v>
      </c>
      <c r="L44">
        <v>3</v>
      </c>
      <c r="M44">
        <v>4</v>
      </c>
      <c r="N44">
        <v>4</v>
      </c>
      <c r="O44">
        <v>2</v>
      </c>
      <c r="P44">
        <v>4</v>
      </c>
      <c r="Q44">
        <v>4</v>
      </c>
      <c r="R44">
        <v>4</v>
      </c>
      <c r="S44">
        <v>5</v>
      </c>
      <c r="T44">
        <v>4</v>
      </c>
      <c r="U44">
        <v>3</v>
      </c>
      <c r="V44">
        <v>5</v>
      </c>
      <c r="W44">
        <v>4</v>
      </c>
      <c r="X44">
        <v>4</v>
      </c>
      <c r="Y44">
        <v>3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</row>
    <row r="45" spans="2:32" x14ac:dyDescent="0.2">
      <c r="B45" t="s">
        <v>31</v>
      </c>
      <c r="C45">
        <v>5</v>
      </c>
      <c r="D45">
        <v>5</v>
      </c>
      <c r="E45">
        <v>5</v>
      </c>
      <c r="F45">
        <v>5</v>
      </c>
      <c r="G45">
        <v>4</v>
      </c>
      <c r="H45">
        <v>5</v>
      </c>
      <c r="I45">
        <v>5</v>
      </c>
      <c r="J45">
        <v>5</v>
      </c>
      <c r="K45">
        <v>4</v>
      </c>
      <c r="L45">
        <v>4</v>
      </c>
      <c r="M45">
        <v>5</v>
      </c>
      <c r="N45">
        <v>5</v>
      </c>
      <c r="O45">
        <v>4</v>
      </c>
      <c r="P45">
        <v>4</v>
      </c>
      <c r="Q45">
        <v>4</v>
      </c>
      <c r="R45">
        <v>5</v>
      </c>
      <c r="S45">
        <v>5</v>
      </c>
      <c r="T45">
        <v>5</v>
      </c>
      <c r="U45">
        <v>4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4</v>
      </c>
      <c r="AD45">
        <v>4</v>
      </c>
      <c r="AE45">
        <v>4</v>
      </c>
      <c r="AF45">
        <v>5</v>
      </c>
    </row>
    <row r="46" spans="2:32" x14ac:dyDescent="0.2">
      <c r="B46" t="s">
        <v>31</v>
      </c>
      <c r="C46">
        <v>4</v>
      </c>
      <c r="D46">
        <v>4</v>
      </c>
      <c r="E46">
        <v>4</v>
      </c>
      <c r="F46">
        <v>3</v>
      </c>
      <c r="G46">
        <v>3</v>
      </c>
      <c r="H46">
        <v>4</v>
      </c>
      <c r="I46">
        <v>4</v>
      </c>
      <c r="J46">
        <v>4</v>
      </c>
      <c r="K46">
        <v>4</v>
      </c>
      <c r="L46">
        <v>4</v>
      </c>
      <c r="M46">
        <v>5</v>
      </c>
      <c r="N46">
        <v>4</v>
      </c>
      <c r="O46">
        <v>4</v>
      </c>
      <c r="P46">
        <v>4</v>
      </c>
      <c r="Q46">
        <v>3</v>
      </c>
      <c r="R46">
        <v>4</v>
      </c>
      <c r="S46">
        <v>5</v>
      </c>
      <c r="T46">
        <v>3</v>
      </c>
      <c r="U46">
        <v>4</v>
      </c>
      <c r="V46">
        <v>4</v>
      </c>
      <c r="W46">
        <v>3</v>
      </c>
      <c r="X46">
        <v>5</v>
      </c>
      <c r="Y46">
        <v>4</v>
      </c>
      <c r="Z46">
        <v>3</v>
      </c>
      <c r="AA46">
        <v>4</v>
      </c>
      <c r="AB46">
        <v>4</v>
      </c>
      <c r="AC46">
        <v>4</v>
      </c>
      <c r="AD46">
        <v>4</v>
      </c>
      <c r="AE46">
        <v>5</v>
      </c>
      <c r="AF46">
        <v>5</v>
      </c>
    </row>
    <row r="47" spans="2:32" x14ac:dyDescent="0.2">
      <c r="B47" t="s">
        <v>31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3</v>
      </c>
      <c r="J47">
        <v>4</v>
      </c>
      <c r="K47">
        <v>3</v>
      </c>
      <c r="L47">
        <v>4</v>
      </c>
      <c r="M47">
        <v>4</v>
      </c>
      <c r="N47">
        <v>4</v>
      </c>
      <c r="O47">
        <v>4</v>
      </c>
      <c r="P47">
        <v>3</v>
      </c>
      <c r="Q47">
        <v>4</v>
      </c>
      <c r="R47">
        <v>3</v>
      </c>
      <c r="S47">
        <v>4</v>
      </c>
      <c r="T47">
        <v>3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3</v>
      </c>
      <c r="AE47">
        <v>4</v>
      </c>
      <c r="AF47">
        <v>4</v>
      </c>
    </row>
    <row r="48" spans="2:32" x14ac:dyDescent="0.2">
      <c r="B48" t="s">
        <v>31</v>
      </c>
      <c r="C48">
        <v>5</v>
      </c>
      <c r="D48">
        <v>5</v>
      </c>
      <c r="E48">
        <v>5</v>
      </c>
      <c r="F48">
        <v>4</v>
      </c>
      <c r="G48">
        <v>3</v>
      </c>
      <c r="H48">
        <v>4</v>
      </c>
      <c r="I48">
        <v>5</v>
      </c>
      <c r="J48">
        <v>5</v>
      </c>
      <c r="K48">
        <v>4</v>
      </c>
      <c r="L48">
        <v>5</v>
      </c>
      <c r="M48">
        <v>5</v>
      </c>
      <c r="N48">
        <v>5</v>
      </c>
      <c r="O48">
        <v>5</v>
      </c>
      <c r="P48">
        <v>3</v>
      </c>
      <c r="Q48">
        <v>5</v>
      </c>
      <c r="R48">
        <v>5</v>
      </c>
      <c r="S48">
        <v>5</v>
      </c>
      <c r="T48">
        <v>3</v>
      </c>
      <c r="U48">
        <v>4</v>
      </c>
      <c r="V48">
        <v>5</v>
      </c>
      <c r="W48">
        <v>5</v>
      </c>
      <c r="X48">
        <v>5</v>
      </c>
      <c r="Y48">
        <v>4</v>
      </c>
      <c r="Z48">
        <v>5</v>
      </c>
      <c r="AA48">
        <v>4</v>
      </c>
      <c r="AB48">
        <v>5</v>
      </c>
      <c r="AC48">
        <v>4</v>
      </c>
      <c r="AD48">
        <v>4</v>
      </c>
      <c r="AE48">
        <v>4</v>
      </c>
      <c r="AF48">
        <v>5</v>
      </c>
    </row>
    <row r="49" spans="2:33" x14ac:dyDescent="0.2">
      <c r="B49" t="s">
        <v>31</v>
      </c>
      <c r="C49">
        <v>5</v>
      </c>
      <c r="D49">
        <v>5</v>
      </c>
      <c r="E49">
        <v>5</v>
      </c>
      <c r="F49">
        <v>4</v>
      </c>
      <c r="G49">
        <v>5</v>
      </c>
      <c r="H49">
        <v>5</v>
      </c>
      <c r="I49">
        <v>5</v>
      </c>
      <c r="J49">
        <v>5</v>
      </c>
      <c r="K49">
        <v>4</v>
      </c>
      <c r="L49">
        <v>4</v>
      </c>
      <c r="M49">
        <v>5</v>
      </c>
      <c r="N49">
        <v>5</v>
      </c>
      <c r="O49">
        <v>4</v>
      </c>
      <c r="P49">
        <v>4</v>
      </c>
      <c r="Q49">
        <v>4</v>
      </c>
      <c r="R49">
        <v>5</v>
      </c>
      <c r="S49">
        <v>5</v>
      </c>
      <c r="T49">
        <v>4</v>
      </c>
      <c r="U49">
        <v>4</v>
      </c>
      <c r="V49">
        <v>5</v>
      </c>
      <c r="W49">
        <v>3</v>
      </c>
      <c r="X49">
        <v>5</v>
      </c>
      <c r="Y49">
        <v>5</v>
      </c>
      <c r="Z49">
        <v>5</v>
      </c>
      <c r="AA49">
        <v>4</v>
      </c>
      <c r="AB49">
        <v>5</v>
      </c>
      <c r="AC49">
        <v>5</v>
      </c>
      <c r="AD49">
        <v>4</v>
      </c>
      <c r="AE49">
        <v>5</v>
      </c>
      <c r="AF49">
        <v>5</v>
      </c>
    </row>
    <row r="50" spans="2:33" x14ac:dyDescent="0.2">
      <c r="B50" t="s">
        <v>31</v>
      </c>
      <c r="C50">
        <v>4</v>
      </c>
      <c r="D50">
        <v>4</v>
      </c>
      <c r="E50">
        <v>4</v>
      </c>
      <c r="F50">
        <v>3</v>
      </c>
      <c r="G50">
        <v>4</v>
      </c>
      <c r="H50">
        <v>4</v>
      </c>
      <c r="I50">
        <v>4</v>
      </c>
      <c r="J50">
        <v>4</v>
      </c>
      <c r="K50">
        <v>3</v>
      </c>
      <c r="L50">
        <v>4</v>
      </c>
      <c r="M50">
        <v>3</v>
      </c>
      <c r="N50">
        <v>3</v>
      </c>
      <c r="O50">
        <v>4</v>
      </c>
      <c r="P50">
        <v>4</v>
      </c>
      <c r="Q50">
        <v>3</v>
      </c>
      <c r="R50">
        <v>4</v>
      </c>
      <c r="S50">
        <v>4</v>
      </c>
      <c r="T50">
        <v>2</v>
      </c>
      <c r="U50">
        <v>3</v>
      </c>
      <c r="V50">
        <v>5</v>
      </c>
      <c r="W50">
        <v>2</v>
      </c>
      <c r="X50">
        <v>4</v>
      </c>
      <c r="Y50">
        <v>4</v>
      </c>
      <c r="Z50">
        <v>3</v>
      </c>
      <c r="AA50">
        <v>3</v>
      </c>
      <c r="AB50">
        <v>3</v>
      </c>
      <c r="AC50">
        <v>4</v>
      </c>
      <c r="AD50">
        <v>4</v>
      </c>
      <c r="AE50">
        <v>4</v>
      </c>
      <c r="AF50">
        <v>3</v>
      </c>
    </row>
    <row r="51" spans="2:33" x14ac:dyDescent="0.2">
      <c r="B51" t="s">
        <v>31</v>
      </c>
      <c r="C51">
        <v>5</v>
      </c>
      <c r="D51">
        <v>4</v>
      </c>
      <c r="E51">
        <v>4</v>
      </c>
      <c r="F51">
        <v>4</v>
      </c>
      <c r="G51">
        <v>5</v>
      </c>
      <c r="H51">
        <v>5</v>
      </c>
      <c r="I51">
        <v>4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4</v>
      </c>
      <c r="R51">
        <v>5</v>
      </c>
      <c r="S51">
        <v>5</v>
      </c>
      <c r="T51">
        <v>2</v>
      </c>
      <c r="U51">
        <v>5</v>
      </c>
      <c r="V51">
        <v>5</v>
      </c>
      <c r="W51">
        <v>1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</row>
    <row r="52" spans="2:33" x14ac:dyDescent="0.2">
      <c r="B52" t="s">
        <v>31</v>
      </c>
      <c r="C52">
        <v>4</v>
      </c>
      <c r="D52">
        <v>4</v>
      </c>
      <c r="E52">
        <v>4</v>
      </c>
      <c r="F52">
        <v>4</v>
      </c>
      <c r="G52">
        <v>3</v>
      </c>
      <c r="H52">
        <v>4</v>
      </c>
      <c r="I52">
        <v>4</v>
      </c>
      <c r="J52">
        <v>4</v>
      </c>
      <c r="K52">
        <v>3</v>
      </c>
      <c r="L52">
        <v>4</v>
      </c>
      <c r="M52">
        <v>4</v>
      </c>
      <c r="N52">
        <v>3</v>
      </c>
      <c r="O52">
        <v>4</v>
      </c>
      <c r="P52">
        <v>4</v>
      </c>
      <c r="Q52">
        <v>4</v>
      </c>
      <c r="R52">
        <v>3</v>
      </c>
      <c r="S52">
        <v>4</v>
      </c>
      <c r="T52">
        <v>3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</row>
    <row r="53" spans="2:33" x14ac:dyDescent="0.2">
      <c r="B53" t="s">
        <v>31</v>
      </c>
      <c r="C53">
        <v>4</v>
      </c>
      <c r="D53">
        <v>4</v>
      </c>
      <c r="E53">
        <v>3</v>
      </c>
      <c r="F53">
        <v>3</v>
      </c>
      <c r="G53">
        <v>3</v>
      </c>
      <c r="H53">
        <v>4</v>
      </c>
      <c r="I53">
        <v>4</v>
      </c>
      <c r="J53">
        <v>4</v>
      </c>
      <c r="K53">
        <v>4</v>
      </c>
      <c r="L53">
        <v>3</v>
      </c>
      <c r="M53">
        <v>3</v>
      </c>
      <c r="N53">
        <v>4</v>
      </c>
      <c r="O53">
        <v>3</v>
      </c>
      <c r="P53">
        <v>5</v>
      </c>
      <c r="Q53">
        <v>4</v>
      </c>
      <c r="R53">
        <v>4</v>
      </c>
      <c r="S53">
        <v>4</v>
      </c>
      <c r="T53">
        <v>3</v>
      </c>
      <c r="U53">
        <v>3</v>
      </c>
      <c r="V53">
        <v>4</v>
      </c>
      <c r="W53">
        <v>3</v>
      </c>
      <c r="X53">
        <v>4</v>
      </c>
      <c r="Y53">
        <v>4</v>
      </c>
      <c r="Z53">
        <v>4</v>
      </c>
      <c r="AA53">
        <v>3</v>
      </c>
      <c r="AB53">
        <v>3</v>
      </c>
      <c r="AC53">
        <v>4</v>
      </c>
      <c r="AD53">
        <v>4</v>
      </c>
      <c r="AE53">
        <v>4</v>
      </c>
      <c r="AF53">
        <v>4</v>
      </c>
    </row>
    <row r="54" spans="2:33" x14ac:dyDescent="0.2">
      <c r="B54" t="s">
        <v>31</v>
      </c>
      <c r="C54">
        <v>4</v>
      </c>
      <c r="D54">
        <v>4</v>
      </c>
      <c r="E54">
        <v>3</v>
      </c>
      <c r="F54">
        <v>3</v>
      </c>
      <c r="G54">
        <v>3</v>
      </c>
      <c r="H54">
        <v>3</v>
      </c>
      <c r="I54">
        <v>4</v>
      </c>
      <c r="J54">
        <v>4</v>
      </c>
      <c r="K54">
        <v>3</v>
      </c>
      <c r="L54">
        <v>4</v>
      </c>
      <c r="M54">
        <v>4</v>
      </c>
      <c r="N54">
        <v>4</v>
      </c>
      <c r="O54">
        <v>4</v>
      </c>
      <c r="P54">
        <v>3</v>
      </c>
      <c r="Q54">
        <v>3</v>
      </c>
      <c r="R54">
        <v>3</v>
      </c>
      <c r="S54">
        <v>4</v>
      </c>
      <c r="T54">
        <v>4</v>
      </c>
      <c r="U54">
        <v>3</v>
      </c>
      <c r="V54">
        <v>3</v>
      </c>
      <c r="W54">
        <v>3</v>
      </c>
      <c r="X54">
        <v>4</v>
      </c>
      <c r="Y54">
        <v>3</v>
      </c>
      <c r="Z54">
        <v>3</v>
      </c>
      <c r="AA54">
        <v>3</v>
      </c>
      <c r="AB54">
        <v>4</v>
      </c>
      <c r="AC54">
        <v>4</v>
      </c>
      <c r="AD54">
        <v>4</v>
      </c>
      <c r="AE54">
        <v>4</v>
      </c>
      <c r="AF54">
        <v>4</v>
      </c>
    </row>
    <row r="55" spans="2:33" x14ac:dyDescent="0.2">
      <c r="B55" t="s">
        <v>31</v>
      </c>
      <c r="C55">
        <v>4</v>
      </c>
      <c r="D55">
        <v>4</v>
      </c>
      <c r="E55">
        <v>4</v>
      </c>
      <c r="F55">
        <v>5</v>
      </c>
      <c r="G55">
        <v>5</v>
      </c>
      <c r="H55">
        <v>4</v>
      </c>
      <c r="I55">
        <v>4</v>
      </c>
      <c r="J55">
        <v>5</v>
      </c>
      <c r="K55">
        <v>4</v>
      </c>
      <c r="L55">
        <v>3</v>
      </c>
      <c r="M55">
        <v>4</v>
      </c>
      <c r="N55">
        <v>3</v>
      </c>
      <c r="O55">
        <v>3</v>
      </c>
      <c r="P55">
        <v>3</v>
      </c>
      <c r="Q55">
        <v>4</v>
      </c>
      <c r="R55">
        <v>3</v>
      </c>
      <c r="S55">
        <v>5</v>
      </c>
      <c r="T55">
        <v>3</v>
      </c>
      <c r="U55">
        <v>3</v>
      </c>
      <c r="V55">
        <v>5</v>
      </c>
      <c r="W55">
        <v>4</v>
      </c>
      <c r="X55">
        <v>4</v>
      </c>
      <c r="Y55">
        <v>4</v>
      </c>
      <c r="Z55">
        <v>3</v>
      </c>
      <c r="AA55">
        <v>2</v>
      </c>
      <c r="AB55">
        <v>3</v>
      </c>
      <c r="AC55">
        <v>3</v>
      </c>
      <c r="AD55">
        <v>3</v>
      </c>
      <c r="AE55">
        <v>4</v>
      </c>
      <c r="AF55">
        <v>4</v>
      </c>
    </row>
    <row r="56" spans="2:33" x14ac:dyDescent="0.2">
      <c r="B56" t="s">
        <v>31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</row>
    <row r="57" spans="2:33" x14ac:dyDescent="0.2">
      <c r="B57" t="s">
        <v>31</v>
      </c>
      <c r="C57">
        <v>5</v>
      </c>
      <c r="D57">
        <v>5</v>
      </c>
      <c r="E57">
        <v>5</v>
      </c>
      <c r="F57">
        <v>3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5</v>
      </c>
      <c r="N57">
        <v>5</v>
      </c>
      <c r="O57">
        <v>1</v>
      </c>
      <c r="P57">
        <v>1</v>
      </c>
      <c r="Q57">
        <v>2</v>
      </c>
      <c r="R57">
        <v>5</v>
      </c>
      <c r="S57">
        <v>5</v>
      </c>
      <c r="T57">
        <v>5</v>
      </c>
      <c r="U57">
        <v>5</v>
      </c>
      <c r="V57">
        <v>5</v>
      </c>
      <c r="W57">
        <v>4</v>
      </c>
      <c r="X57">
        <v>5</v>
      </c>
      <c r="Y57">
        <v>5</v>
      </c>
      <c r="Z57">
        <v>5</v>
      </c>
      <c r="AA57">
        <v>3</v>
      </c>
      <c r="AB57">
        <v>5</v>
      </c>
      <c r="AC57">
        <v>5</v>
      </c>
      <c r="AD57">
        <v>2</v>
      </c>
      <c r="AE57">
        <v>5</v>
      </c>
      <c r="AF57">
        <v>5</v>
      </c>
    </row>
    <row r="58" spans="2:33" x14ac:dyDescent="0.2">
      <c r="B58" t="s">
        <v>31</v>
      </c>
      <c r="C58">
        <v>4</v>
      </c>
      <c r="D58">
        <v>5</v>
      </c>
      <c r="E58">
        <v>5</v>
      </c>
      <c r="F58">
        <v>4</v>
      </c>
      <c r="G58">
        <v>3</v>
      </c>
      <c r="H58">
        <v>4</v>
      </c>
      <c r="I58">
        <v>4</v>
      </c>
      <c r="J58">
        <v>3</v>
      </c>
      <c r="K58">
        <v>3</v>
      </c>
      <c r="L58">
        <v>4</v>
      </c>
      <c r="M58">
        <v>4</v>
      </c>
      <c r="N58">
        <v>4</v>
      </c>
      <c r="O58">
        <v>3</v>
      </c>
      <c r="P58">
        <v>4</v>
      </c>
      <c r="Q58">
        <v>4</v>
      </c>
      <c r="R58">
        <v>3</v>
      </c>
      <c r="S58">
        <v>5</v>
      </c>
      <c r="T58">
        <v>3</v>
      </c>
      <c r="U58">
        <v>4</v>
      </c>
      <c r="V58">
        <v>4</v>
      </c>
      <c r="W58">
        <v>3</v>
      </c>
      <c r="X58">
        <v>4</v>
      </c>
      <c r="Y58">
        <v>4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4</v>
      </c>
    </row>
    <row r="59" spans="2:33" x14ac:dyDescent="0.2">
      <c r="B59" t="s">
        <v>31</v>
      </c>
      <c r="C59">
        <v>5</v>
      </c>
      <c r="D59">
        <v>4</v>
      </c>
      <c r="E59">
        <v>5</v>
      </c>
      <c r="F59">
        <v>4</v>
      </c>
      <c r="G59">
        <v>4</v>
      </c>
      <c r="H59">
        <v>4</v>
      </c>
      <c r="I59">
        <v>4</v>
      </c>
      <c r="J59">
        <v>4</v>
      </c>
      <c r="K59">
        <v>5</v>
      </c>
      <c r="L59">
        <v>3</v>
      </c>
      <c r="M59">
        <v>5</v>
      </c>
      <c r="N59">
        <v>3</v>
      </c>
      <c r="O59">
        <v>4</v>
      </c>
      <c r="P59">
        <v>4</v>
      </c>
      <c r="Q59">
        <v>4</v>
      </c>
      <c r="R59">
        <v>4</v>
      </c>
      <c r="S59">
        <v>4</v>
      </c>
      <c r="T59">
        <v>3</v>
      </c>
      <c r="U59">
        <v>4</v>
      </c>
      <c r="V59">
        <v>4</v>
      </c>
      <c r="W59">
        <v>4</v>
      </c>
      <c r="X59">
        <v>5</v>
      </c>
      <c r="Y59">
        <v>4</v>
      </c>
      <c r="Z59">
        <v>3</v>
      </c>
      <c r="AA59">
        <v>5</v>
      </c>
      <c r="AB59">
        <v>3</v>
      </c>
      <c r="AC59">
        <v>4</v>
      </c>
      <c r="AD59">
        <v>4</v>
      </c>
      <c r="AE59">
        <v>4</v>
      </c>
      <c r="AF59">
        <v>5</v>
      </c>
    </row>
    <row r="63" spans="2:33" x14ac:dyDescent="0.2">
      <c r="D63" s="2" t="s">
        <v>35</v>
      </c>
      <c r="E63" s="2" t="s">
        <v>36</v>
      </c>
      <c r="F63" s="2" t="s">
        <v>36</v>
      </c>
      <c r="G63" s="2" t="s">
        <v>37</v>
      </c>
      <c r="H63" s="2" t="s">
        <v>38</v>
      </c>
      <c r="I63" s="2" t="s">
        <v>36</v>
      </c>
      <c r="J63" s="2" t="s">
        <v>39</v>
      </c>
      <c r="K63" s="2" t="s">
        <v>39</v>
      </c>
      <c r="L63" s="2" t="s">
        <v>38</v>
      </c>
      <c r="M63" s="2" t="s">
        <v>36</v>
      </c>
      <c r="N63" s="2" t="s">
        <v>35</v>
      </c>
      <c r="O63" s="2" t="s">
        <v>37</v>
      </c>
      <c r="P63" s="2" t="s">
        <v>37</v>
      </c>
      <c r="Q63" s="2" t="s">
        <v>39</v>
      </c>
      <c r="R63" s="2" t="s">
        <v>35</v>
      </c>
      <c r="S63" s="2" t="s">
        <v>39</v>
      </c>
      <c r="T63" s="2" t="s">
        <v>35</v>
      </c>
      <c r="U63" s="2" t="s">
        <v>37</v>
      </c>
      <c r="V63" s="2" t="s">
        <v>39</v>
      </c>
      <c r="W63" s="2" t="s">
        <v>36</v>
      </c>
      <c r="X63" s="2" t="s">
        <v>35</v>
      </c>
      <c r="Y63" s="2" t="s">
        <v>38</v>
      </c>
      <c r="Z63" s="2" t="s">
        <v>37</v>
      </c>
      <c r="AA63" s="2" t="s">
        <v>35</v>
      </c>
      <c r="AB63" s="2" t="s">
        <v>37</v>
      </c>
      <c r="AC63" s="2" t="s">
        <v>36</v>
      </c>
      <c r="AD63" s="2" t="s">
        <v>38</v>
      </c>
      <c r="AE63" s="2" t="s">
        <v>38</v>
      </c>
      <c r="AF63" s="2" t="s">
        <v>39</v>
      </c>
      <c r="AG63" s="2" t="s">
        <v>38</v>
      </c>
    </row>
    <row r="64" spans="2:33" x14ac:dyDescent="0.2">
      <c r="C64" t="s">
        <v>33</v>
      </c>
      <c r="D64" t="s">
        <v>1</v>
      </c>
      <c r="E64" t="s">
        <v>2</v>
      </c>
      <c r="F64" t="s">
        <v>3</v>
      </c>
      <c r="G64" t="s">
        <v>4</v>
      </c>
      <c r="H64" t="s">
        <v>40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14</v>
      </c>
      <c r="R64" t="s">
        <v>15</v>
      </c>
      <c r="S64" t="s">
        <v>16</v>
      </c>
      <c r="T64" t="s">
        <v>17</v>
      </c>
      <c r="U64" t="s">
        <v>18</v>
      </c>
      <c r="V64" t="s">
        <v>19</v>
      </c>
      <c r="W64" t="s">
        <v>20</v>
      </c>
      <c r="X64" t="s">
        <v>21</v>
      </c>
      <c r="Y64" t="s">
        <v>41</v>
      </c>
      <c r="Z64" t="s">
        <v>23</v>
      </c>
      <c r="AA64" t="s">
        <v>42</v>
      </c>
      <c r="AB64" t="s">
        <v>25</v>
      </c>
      <c r="AC64" t="s">
        <v>26</v>
      </c>
      <c r="AD64" t="s">
        <v>27</v>
      </c>
      <c r="AE64" t="s">
        <v>28</v>
      </c>
      <c r="AF64" t="s">
        <v>43</v>
      </c>
      <c r="AG64" t="s">
        <v>30</v>
      </c>
    </row>
    <row r="65" spans="2:33" x14ac:dyDescent="0.2">
      <c r="B65">
        <v>4</v>
      </c>
      <c r="C65" t="s">
        <v>44</v>
      </c>
      <c r="D65">
        <f>COUNTIFS(C$3:C$59,$B65,$B$3:$B$59,$C$64)</f>
        <v>4</v>
      </c>
      <c r="E65">
        <f t="shared" ref="E65:AG66" si="0">COUNTIFS(D$3:D$59,$B65,$B$3:$B$59,$C$64)</f>
        <v>3</v>
      </c>
      <c r="F65">
        <f t="shared" si="0"/>
        <v>5</v>
      </c>
      <c r="G65">
        <f t="shared" si="0"/>
        <v>3</v>
      </c>
      <c r="H65">
        <f t="shared" si="0"/>
        <v>5</v>
      </c>
      <c r="I65">
        <f t="shared" si="0"/>
        <v>6</v>
      </c>
      <c r="J65">
        <f t="shared" si="0"/>
        <v>6</v>
      </c>
      <c r="K65">
        <f t="shared" si="0"/>
        <v>4</v>
      </c>
      <c r="L65">
        <f t="shared" si="0"/>
        <v>3</v>
      </c>
      <c r="M65">
        <f t="shared" si="0"/>
        <v>2</v>
      </c>
      <c r="N65">
        <f t="shared" si="0"/>
        <v>3</v>
      </c>
      <c r="O65">
        <f t="shared" si="0"/>
        <v>6</v>
      </c>
      <c r="P65">
        <f t="shared" si="0"/>
        <v>3</v>
      </c>
      <c r="Q65">
        <f t="shared" si="0"/>
        <v>3</v>
      </c>
      <c r="R65">
        <f t="shared" si="0"/>
        <v>3</v>
      </c>
      <c r="S65">
        <f t="shared" si="0"/>
        <v>4</v>
      </c>
      <c r="T65">
        <f t="shared" si="0"/>
        <v>4</v>
      </c>
      <c r="U65">
        <f t="shared" si="0"/>
        <v>4</v>
      </c>
      <c r="V65">
        <f t="shared" si="0"/>
        <v>2</v>
      </c>
      <c r="W65">
        <f t="shared" si="0"/>
        <v>3</v>
      </c>
      <c r="X65">
        <f t="shared" si="0"/>
        <v>3</v>
      </c>
      <c r="Y65">
        <f t="shared" si="0"/>
        <v>5</v>
      </c>
      <c r="Z65">
        <f t="shared" si="0"/>
        <v>6</v>
      </c>
      <c r="AA65">
        <f t="shared" si="0"/>
        <v>5</v>
      </c>
      <c r="AB65">
        <f t="shared" si="0"/>
        <v>6</v>
      </c>
      <c r="AC65">
        <f t="shared" si="0"/>
        <v>6</v>
      </c>
      <c r="AD65">
        <f t="shared" si="0"/>
        <v>4</v>
      </c>
      <c r="AE65">
        <f t="shared" si="0"/>
        <v>4</v>
      </c>
      <c r="AF65">
        <f t="shared" si="0"/>
        <v>4</v>
      </c>
      <c r="AG65">
        <f t="shared" si="0"/>
        <v>6</v>
      </c>
    </row>
    <row r="66" spans="2:33" x14ac:dyDescent="0.2">
      <c r="B66">
        <v>5</v>
      </c>
      <c r="C66" t="s">
        <v>45</v>
      </c>
      <c r="D66">
        <f>COUNTIFS(C$3:C$59,$B66,$B$3:$B$59,$C$64)</f>
        <v>4</v>
      </c>
      <c r="E66">
        <f t="shared" si="0"/>
        <v>5</v>
      </c>
      <c r="F66">
        <f t="shared" si="0"/>
        <v>2</v>
      </c>
      <c r="G66">
        <f t="shared" si="0"/>
        <v>2</v>
      </c>
      <c r="H66">
        <f t="shared" si="0"/>
        <v>2</v>
      </c>
      <c r="I66">
        <f t="shared" si="0"/>
        <v>1</v>
      </c>
      <c r="J66">
        <f t="shared" si="0"/>
        <v>2</v>
      </c>
      <c r="K66">
        <f t="shared" si="0"/>
        <v>4</v>
      </c>
      <c r="L66">
        <f t="shared" si="0"/>
        <v>1</v>
      </c>
      <c r="M66">
        <f t="shared" si="0"/>
        <v>2</v>
      </c>
      <c r="N66">
        <f t="shared" si="0"/>
        <v>3</v>
      </c>
      <c r="O66">
        <f t="shared" si="0"/>
        <v>2</v>
      </c>
      <c r="P66">
        <f t="shared" si="0"/>
        <v>1</v>
      </c>
      <c r="Q66">
        <f t="shared" si="0"/>
        <v>1</v>
      </c>
      <c r="R66">
        <f t="shared" si="0"/>
        <v>2</v>
      </c>
      <c r="S66">
        <f t="shared" si="0"/>
        <v>1</v>
      </c>
      <c r="T66">
        <f t="shared" si="0"/>
        <v>4</v>
      </c>
      <c r="U66">
        <f t="shared" si="0"/>
        <v>0</v>
      </c>
      <c r="V66">
        <f t="shared" si="0"/>
        <v>1</v>
      </c>
      <c r="W66">
        <f t="shared" si="0"/>
        <v>4</v>
      </c>
      <c r="X66">
        <f t="shared" si="0"/>
        <v>1</v>
      </c>
      <c r="Y66">
        <f t="shared" si="0"/>
        <v>3</v>
      </c>
      <c r="Z66">
        <f t="shared" si="0"/>
        <v>2</v>
      </c>
      <c r="AA66">
        <f t="shared" si="0"/>
        <v>1</v>
      </c>
      <c r="AB66">
        <f t="shared" si="0"/>
        <v>1</v>
      </c>
      <c r="AC66">
        <f t="shared" si="0"/>
        <v>1</v>
      </c>
      <c r="AD66">
        <f t="shared" si="0"/>
        <v>2</v>
      </c>
      <c r="AE66">
        <f t="shared" si="0"/>
        <v>1</v>
      </c>
      <c r="AF66">
        <f t="shared" si="0"/>
        <v>2</v>
      </c>
      <c r="AG66">
        <f t="shared" si="0"/>
        <v>2</v>
      </c>
    </row>
    <row r="70" spans="2:33" x14ac:dyDescent="0.2">
      <c r="D70" s="2" t="s">
        <v>35</v>
      </c>
      <c r="E70" s="2" t="s">
        <v>36</v>
      </c>
      <c r="F70" s="2" t="s">
        <v>36</v>
      </c>
      <c r="G70" s="2" t="s">
        <v>37</v>
      </c>
      <c r="H70" s="2" t="s">
        <v>38</v>
      </c>
      <c r="I70" s="2" t="s">
        <v>36</v>
      </c>
      <c r="J70" s="2" t="s">
        <v>39</v>
      </c>
      <c r="K70" s="2" t="s">
        <v>39</v>
      </c>
      <c r="L70" s="2" t="s">
        <v>38</v>
      </c>
      <c r="M70" s="2" t="s">
        <v>36</v>
      </c>
      <c r="N70" s="2" t="s">
        <v>35</v>
      </c>
      <c r="O70" s="2" t="s">
        <v>37</v>
      </c>
      <c r="P70" s="2" t="s">
        <v>37</v>
      </c>
      <c r="Q70" s="2" t="s">
        <v>39</v>
      </c>
      <c r="R70" s="2" t="s">
        <v>35</v>
      </c>
      <c r="S70" s="2" t="s">
        <v>39</v>
      </c>
      <c r="T70" s="2" t="s">
        <v>35</v>
      </c>
      <c r="U70" s="2" t="s">
        <v>37</v>
      </c>
      <c r="V70" s="2" t="s">
        <v>39</v>
      </c>
      <c r="W70" s="2" t="s">
        <v>36</v>
      </c>
      <c r="X70" s="2" t="s">
        <v>35</v>
      </c>
      <c r="Y70" s="2" t="s">
        <v>38</v>
      </c>
      <c r="Z70" s="2" t="s">
        <v>37</v>
      </c>
      <c r="AA70" s="2" t="s">
        <v>35</v>
      </c>
      <c r="AB70" s="2" t="s">
        <v>37</v>
      </c>
      <c r="AC70" s="2" t="s">
        <v>36</v>
      </c>
      <c r="AD70" s="2" t="s">
        <v>38</v>
      </c>
      <c r="AE70" s="2" t="s">
        <v>38</v>
      </c>
      <c r="AF70" s="2" t="s">
        <v>39</v>
      </c>
      <c r="AG70" s="2" t="s">
        <v>38</v>
      </c>
    </row>
    <row r="71" spans="2:33" x14ac:dyDescent="0.2">
      <c r="C71" t="s">
        <v>32</v>
      </c>
      <c r="D71" t="s">
        <v>1</v>
      </c>
      <c r="E71" t="s">
        <v>2</v>
      </c>
      <c r="F71" t="s">
        <v>3</v>
      </c>
      <c r="G71" t="s">
        <v>4</v>
      </c>
      <c r="H71" t="s">
        <v>40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t="s">
        <v>12</v>
      </c>
      <c r="P71" t="s">
        <v>13</v>
      </c>
      <c r="Q71" t="s">
        <v>14</v>
      </c>
      <c r="R71" t="s">
        <v>15</v>
      </c>
      <c r="S71" t="s">
        <v>16</v>
      </c>
      <c r="T71" t="s">
        <v>17</v>
      </c>
      <c r="U71" t="s">
        <v>18</v>
      </c>
      <c r="V71" t="s">
        <v>19</v>
      </c>
      <c r="W71" t="s">
        <v>20</v>
      </c>
      <c r="X71" t="s">
        <v>21</v>
      </c>
      <c r="Y71" t="s">
        <v>41</v>
      </c>
      <c r="Z71" t="s">
        <v>23</v>
      </c>
      <c r="AA71" t="s">
        <v>42</v>
      </c>
      <c r="AB71" t="s">
        <v>25</v>
      </c>
      <c r="AC71" t="s">
        <v>26</v>
      </c>
      <c r="AD71" t="s">
        <v>27</v>
      </c>
      <c r="AE71" t="s">
        <v>28</v>
      </c>
      <c r="AF71" t="s">
        <v>43</v>
      </c>
      <c r="AG71" t="s">
        <v>30</v>
      </c>
    </row>
    <row r="72" spans="2:33" x14ac:dyDescent="0.2">
      <c r="B72">
        <v>4</v>
      </c>
      <c r="C72" t="s">
        <v>44</v>
      </c>
      <c r="D72">
        <f>COUNTIFS(C$3:C$59,$B72,$B$3:$B$59,$C$71)</f>
        <v>8</v>
      </c>
      <c r="E72">
        <f t="shared" ref="E72:AG73" si="1">COUNTIFS(D$3:D$59,$B72,$B$3:$B$59,$C$71)</f>
        <v>4</v>
      </c>
      <c r="F72">
        <f t="shared" si="1"/>
        <v>4</v>
      </c>
      <c r="G72">
        <f t="shared" si="1"/>
        <v>7</v>
      </c>
      <c r="H72">
        <f t="shared" si="1"/>
        <v>7</v>
      </c>
      <c r="I72">
        <f t="shared" si="1"/>
        <v>6</v>
      </c>
      <c r="J72">
        <f t="shared" si="1"/>
        <v>7</v>
      </c>
      <c r="K72">
        <f t="shared" si="1"/>
        <v>5</v>
      </c>
      <c r="L72">
        <f t="shared" si="1"/>
        <v>5</v>
      </c>
      <c r="M72">
        <f t="shared" si="1"/>
        <v>6</v>
      </c>
      <c r="N72">
        <f t="shared" si="1"/>
        <v>6</v>
      </c>
      <c r="O72">
        <f t="shared" si="1"/>
        <v>5</v>
      </c>
      <c r="P72">
        <f t="shared" si="1"/>
        <v>7</v>
      </c>
      <c r="Q72">
        <f t="shared" si="1"/>
        <v>5</v>
      </c>
      <c r="R72">
        <f t="shared" si="1"/>
        <v>2</v>
      </c>
      <c r="S72">
        <f t="shared" si="1"/>
        <v>8</v>
      </c>
      <c r="T72">
        <f t="shared" si="1"/>
        <v>3</v>
      </c>
      <c r="U72">
        <f t="shared" si="1"/>
        <v>2</v>
      </c>
      <c r="V72">
        <f t="shared" si="1"/>
        <v>6</v>
      </c>
      <c r="W72">
        <f t="shared" si="1"/>
        <v>8</v>
      </c>
      <c r="X72">
        <f t="shared" si="1"/>
        <v>4</v>
      </c>
      <c r="Y72">
        <f t="shared" si="1"/>
        <v>7</v>
      </c>
      <c r="Z72">
        <f t="shared" si="1"/>
        <v>7</v>
      </c>
      <c r="AA72">
        <f t="shared" si="1"/>
        <v>5</v>
      </c>
      <c r="AB72">
        <f t="shared" si="1"/>
        <v>8</v>
      </c>
      <c r="AC72">
        <f t="shared" si="1"/>
        <v>7</v>
      </c>
      <c r="AD72">
        <f t="shared" si="1"/>
        <v>7</v>
      </c>
      <c r="AE72">
        <f t="shared" si="1"/>
        <v>5</v>
      </c>
      <c r="AF72">
        <f t="shared" si="1"/>
        <v>4</v>
      </c>
      <c r="AG72">
        <f t="shared" si="1"/>
        <v>5</v>
      </c>
    </row>
    <row r="73" spans="2:33" x14ac:dyDescent="0.2">
      <c r="B73">
        <v>5</v>
      </c>
      <c r="C73" t="s">
        <v>45</v>
      </c>
      <c r="D73">
        <f>COUNTIFS(C$3:C$59,$B73,$B$3:$B$59,$C$71)</f>
        <v>2</v>
      </c>
      <c r="E73">
        <f t="shared" si="1"/>
        <v>7</v>
      </c>
      <c r="F73">
        <f t="shared" si="1"/>
        <v>2</v>
      </c>
      <c r="G73">
        <f t="shared" si="1"/>
        <v>0</v>
      </c>
      <c r="H73">
        <f t="shared" si="1"/>
        <v>0</v>
      </c>
      <c r="I73">
        <f t="shared" si="1"/>
        <v>2</v>
      </c>
      <c r="J73">
        <f t="shared" si="1"/>
        <v>1</v>
      </c>
      <c r="K73">
        <f t="shared" si="1"/>
        <v>2</v>
      </c>
      <c r="L73">
        <f t="shared" si="1"/>
        <v>1</v>
      </c>
      <c r="M73">
        <f>COUNTIFS(L$3:L$59,$B73,$B$3:$B$59,$C$71)</f>
        <v>1</v>
      </c>
      <c r="N73">
        <f t="shared" si="1"/>
        <v>5</v>
      </c>
      <c r="O73">
        <f t="shared" si="1"/>
        <v>2</v>
      </c>
      <c r="P73">
        <f t="shared" si="1"/>
        <v>1</v>
      </c>
      <c r="Q73">
        <f t="shared" si="1"/>
        <v>0</v>
      </c>
      <c r="R73">
        <f t="shared" si="1"/>
        <v>0</v>
      </c>
      <c r="S73">
        <f t="shared" si="1"/>
        <v>0</v>
      </c>
      <c r="T73">
        <f t="shared" si="1"/>
        <v>8</v>
      </c>
      <c r="U73">
        <f t="shared" si="1"/>
        <v>1</v>
      </c>
      <c r="V73">
        <f t="shared" si="1"/>
        <v>1</v>
      </c>
      <c r="W73">
        <f t="shared" si="1"/>
        <v>1</v>
      </c>
      <c r="X73">
        <f t="shared" si="1"/>
        <v>0</v>
      </c>
      <c r="Y73">
        <f t="shared" si="1"/>
        <v>3</v>
      </c>
      <c r="Z73">
        <f t="shared" si="1"/>
        <v>2</v>
      </c>
      <c r="AA73">
        <f t="shared" si="1"/>
        <v>4</v>
      </c>
      <c r="AB73">
        <f t="shared" si="1"/>
        <v>0</v>
      </c>
      <c r="AC73">
        <f t="shared" si="1"/>
        <v>1</v>
      </c>
      <c r="AD73">
        <f t="shared" si="1"/>
        <v>1</v>
      </c>
      <c r="AE73">
        <f t="shared" si="1"/>
        <v>1</v>
      </c>
      <c r="AF73">
        <f t="shared" si="1"/>
        <v>4</v>
      </c>
      <c r="AG73">
        <f t="shared" si="1"/>
        <v>6</v>
      </c>
    </row>
    <row r="77" spans="2:33" x14ac:dyDescent="0.2">
      <c r="D77" s="2" t="s">
        <v>35</v>
      </c>
      <c r="E77" s="2" t="s">
        <v>36</v>
      </c>
      <c r="F77" s="2" t="s">
        <v>36</v>
      </c>
      <c r="G77" s="2" t="s">
        <v>37</v>
      </c>
      <c r="H77" s="2" t="s">
        <v>38</v>
      </c>
      <c r="I77" s="2" t="s">
        <v>36</v>
      </c>
      <c r="J77" s="2" t="s">
        <v>39</v>
      </c>
      <c r="K77" s="2" t="s">
        <v>39</v>
      </c>
      <c r="L77" s="2" t="s">
        <v>38</v>
      </c>
      <c r="M77" s="2" t="s">
        <v>36</v>
      </c>
      <c r="N77" s="2" t="s">
        <v>35</v>
      </c>
      <c r="O77" s="2" t="s">
        <v>37</v>
      </c>
      <c r="P77" s="2" t="s">
        <v>37</v>
      </c>
      <c r="Q77" s="2" t="s">
        <v>39</v>
      </c>
      <c r="R77" s="2" t="s">
        <v>35</v>
      </c>
      <c r="S77" s="2" t="s">
        <v>39</v>
      </c>
      <c r="T77" s="2" t="s">
        <v>35</v>
      </c>
      <c r="U77" s="2" t="s">
        <v>37</v>
      </c>
      <c r="V77" s="2" t="s">
        <v>39</v>
      </c>
      <c r="W77" s="2" t="s">
        <v>36</v>
      </c>
      <c r="X77" s="2" t="s">
        <v>35</v>
      </c>
      <c r="Y77" s="2" t="s">
        <v>38</v>
      </c>
      <c r="Z77" s="2" t="s">
        <v>37</v>
      </c>
      <c r="AA77" s="2" t="s">
        <v>35</v>
      </c>
      <c r="AB77" s="2" t="s">
        <v>37</v>
      </c>
      <c r="AC77" s="2" t="s">
        <v>36</v>
      </c>
      <c r="AD77" s="2" t="s">
        <v>38</v>
      </c>
      <c r="AE77" s="2" t="s">
        <v>38</v>
      </c>
      <c r="AF77" s="2" t="s">
        <v>39</v>
      </c>
      <c r="AG77" s="2" t="s">
        <v>38</v>
      </c>
    </row>
    <row r="78" spans="2:33" x14ac:dyDescent="0.2">
      <c r="C78" t="s">
        <v>31</v>
      </c>
      <c r="D78" t="s">
        <v>1</v>
      </c>
      <c r="E78" t="s">
        <v>2</v>
      </c>
      <c r="F78" t="s">
        <v>3</v>
      </c>
      <c r="G78" t="s">
        <v>4</v>
      </c>
      <c r="H78" t="s">
        <v>40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  <c r="P78" t="s">
        <v>13</v>
      </c>
      <c r="Q78" t="s">
        <v>14</v>
      </c>
      <c r="R78" t="s">
        <v>15</v>
      </c>
      <c r="S78" t="s">
        <v>16</v>
      </c>
      <c r="T78" t="s">
        <v>17</v>
      </c>
      <c r="U78" t="s">
        <v>18</v>
      </c>
      <c r="V78" t="s">
        <v>19</v>
      </c>
      <c r="W78" t="s">
        <v>20</v>
      </c>
      <c r="X78" t="s">
        <v>21</v>
      </c>
      <c r="Y78" t="s">
        <v>41</v>
      </c>
      <c r="Z78" t="s">
        <v>23</v>
      </c>
      <c r="AA78" t="s">
        <v>42</v>
      </c>
      <c r="AB78" t="s">
        <v>25</v>
      </c>
      <c r="AC78" t="s">
        <v>26</v>
      </c>
      <c r="AD78" t="s">
        <v>27</v>
      </c>
      <c r="AE78" t="s">
        <v>28</v>
      </c>
      <c r="AF78" t="s">
        <v>43</v>
      </c>
      <c r="AG78" t="s">
        <v>30</v>
      </c>
    </row>
    <row r="79" spans="2:33" x14ac:dyDescent="0.2">
      <c r="B79">
        <v>4</v>
      </c>
      <c r="C79" t="s">
        <v>44</v>
      </c>
      <c r="D79">
        <f>COUNTIFS(C$3:C$59,$B79,$B$3:$B$59,$C$78)</f>
        <v>17</v>
      </c>
      <c r="E79">
        <f t="shared" ref="E79:AG79" si="2">COUNTIFS(D$3:D$59,$B79,$B$3:$B$59,$C$78)</f>
        <v>21</v>
      </c>
      <c r="F79">
        <f t="shared" si="2"/>
        <v>17</v>
      </c>
      <c r="G79">
        <f t="shared" si="2"/>
        <v>12</v>
      </c>
      <c r="H79">
        <f t="shared" si="2"/>
        <v>14</v>
      </c>
      <c r="I79">
        <f t="shared" si="2"/>
        <v>20</v>
      </c>
      <c r="J79">
        <f t="shared" si="2"/>
        <v>19</v>
      </c>
      <c r="K79">
        <f t="shared" si="2"/>
        <v>20</v>
      </c>
      <c r="L79">
        <f t="shared" si="2"/>
        <v>17</v>
      </c>
      <c r="M79">
        <f t="shared" si="2"/>
        <v>14</v>
      </c>
      <c r="N79">
        <f t="shared" si="2"/>
        <v>19</v>
      </c>
      <c r="O79">
        <f t="shared" si="2"/>
        <v>15</v>
      </c>
      <c r="P79">
        <f t="shared" si="2"/>
        <v>14</v>
      </c>
      <c r="Q79">
        <f t="shared" si="2"/>
        <v>17</v>
      </c>
      <c r="R79">
        <f t="shared" si="2"/>
        <v>15</v>
      </c>
      <c r="S79">
        <f t="shared" si="2"/>
        <v>11</v>
      </c>
      <c r="T79">
        <f t="shared" si="2"/>
        <v>13</v>
      </c>
      <c r="U79">
        <f t="shared" si="2"/>
        <v>8</v>
      </c>
      <c r="V79">
        <f t="shared" si="2"/>
        <v>24</v>
      </c>
      <c r="W79">
        <f t="shared" si="2"/>
        <v>12</v>
      </c>
      <c r="X79">
        <f t="shared" si="2"/>
        <v>11</v>
      </c>
      <c r="Y79">
        <f t="shared" si="2"/>
        <v>17</v>
      </c>
      <c r="Z79">
        <f t="shared" si="2"/>
        <v>17</v>
      </c>
      <c r="AA79">
        <f t="shared" si="2"/>
        <v>15</v>
      </c>
      <c r="AB79">
        <f t="shared" si="2"/>
        <v>15</v>
      </c>
      <c r="AC79">
        <f t="shared" si="2"/>
        <v>10</v>
      </c>
      <c r="AD79">
        <f t="shared" si="2"/>
        <v>13</v>
      </c>
      <c r="AE79">
        <f t="shared" si="2"/>
        <v>20</v>
      </c>
      <c r="AF79">
        <f t="shared" si="2"/>
        <v>18</v>
      </c>
      <c r="AG79">
        <f t="shared" si="2"/>
        <v>18</v>
      </c>
    </row>
    <row r="80" spans="2:33" x14ac:dyDescent="0.2">
      <c r="B80">
        <v>5</v>
      </c>
      <c r="C80" t="s">
        <v>45</v>
      </c>
      <c r="D80">
        <f>COUNTIFS(C$3:C$59,$B80,$B$3:$B$59,$C$78)</f>
        <v>16</v>
      </c>
      <c r="E80">
        <f t="shared" ref="E80:AG80" si="3">COUNTIFS(D$3:D$59,$B80,$B$3:$B$59,$C$78)</f>
        <v>15</v>
      </c>
      <c r="F80">
        <f t="shared" si="3"/>
        <v>13</v>
      </c>
      <c r="G80">
        <f t="shared" si="3"/>
        <v>11</v>
      </c>
      <c r="H80">
        <f t="shared" si="3"/>
        <v>8</v>
      </c>
      <c r="I80">
        <f t="shared" si="3"/>
        <v>10</v>
      </c>
      <c r="J80">
        <f t="shared" si="3"/>
        <v>10</v>
      </c>
      <c r="K80">
        <f t="shared" si="3"/>
        <v>11</v>
      </c>
      <c r="L80">
        <f t="shared" si="3"/>
        <v>5</v>
      </c>
      <c r="M80">
        <f t="shared" si="3"/>
        <v>7</v>
      </c>
      <c r="N80">
        <f t="shared" si="3"/>
        <v>14</v>
      </c>
      <c r="O80">
        <f t="shared" si="3"/>
        <v>11</v>
      </c>
      <c r="P80">
        <f t="shared" si="3"/>
        <v>9</v>
      </c>
      <c r="Q80">
        <f t="shared" si="3"/>
        <v>9</v>
      </c>
      <c r="R80">
        <f t="shared" si="3"/>
        <v>6</v>
      </c>
      <c r="S80">
        <f t="shared" si="3"/>
        <v>11</v>
      </c>
      <c r="T80">
        <f t="shared" si="3"/>
        <v>23</v>
      </c>
      <c r="U80">
        <f t="shared" si="3"/>
        <v>4</v>
      </c>
      <c r="V80">
        <f t="shared" si="3"/>
        <v>5</v>
      </c>
      <c r="W80">
        <f t="shared" si="3"/>
        <v>19</v>
      </c>
      <c r="X80">
        <f t="shared" si="3"/>
        <v>6</v>
      </c>
      <c r="Y80">
        <f t="shared" si="3"/>
        <v>17</v>
      </c>
      <c r="Z80">
        <f t="shared" si="3"/>
        <v>9</v>
      </c>
      <c r="AA80">
        <f t="shared" si="3"/>
        <v>11</v>
      </c>
      <c r="AB80">
        <f t="shared" si="3"/>
        <v>7</v>
      </c>
      <c r="AC80">
        <f t="shared" si="3"/>
        <v>14</v>
      </c>
      <c r="AD80">
        <f t="shared" si="3"/>
        <v>9</v>
      </c>
      <c r="AE80">
        <f t="shared" si="3"/>
        <v>4</v>
      </c>
      <c r="AF80">
        <f t="shared" si="3"/>
        <v>11</v>
      </c>
      <c r="AG80">
        <f t="shared" si="3"/>
        <v>16</v>
      </c>
    </row>
    <row r="85" spans="2:33" x14ac:dyDescent="0.2">
      <c r="D85" s="2" t="s">
        <v>35</v>
      </c>
      <c r="E85" s="2" t="s">
        <v>36</v>
      </c>
      <c r="F85" s="2" t="s">
        <v>36</v>
      </c>
      <c r="G85" s="2" t="s">
        <v>37</v>
      </c>
      <c r="H85" s="2" t="s">
        <v>38</v>
      </c>
      <c r="I85" s="2" t="s">
        <v>36</v>
      </c>
      <c r="J85" s="2" t="s">
        <v>39</v>
      </c>
      <c r="K85" s="2" t="s">
        <v>39</v>
      </c>
      <c r="L85" s="2" t="s">
        <v>38</v>
      </c>
      <c r="M85" s="2" t="s">
        <v>36</v>
      </c>
      <c r="N85" s="2" t="s">
        <v>35</v>
      </c>
      <c r="O85" s="2" t="s">
        <v>37</v>
      </c>
      <c r="P85" s="2" t="s">
        <v>37</v>
      </c>
      <c r="Q85" s="2" t="s">
        <v>39</v>
      </c>
      <c r="R85" s="2" t="s">
        <v>35</v>
      </c>
      <c r="S85" s="2" t="s">
        <v>39</v>
      </c>
      <c r="T85" s="2" t="s">
        <v>35</v>
      </c>
      <c r="U85" s="2" t="s">
        <v>37</v>
      </c>
      <c r="V85" s="2" t="s">
        <v>39</v>
      </c>
      <c r="W85" s="2" t="s">
        <v>36</v>
      </c>
      <c r="X85" s="2" t="s">
        <v>35</v>
      </c>
      <c r="Y85" s="2" t="s">
        <v>38</v>
      </c>
      <c r="Z85" s="2" t="s">
        <v>37</v>
      </c>
      <c r="AA85" s="2" t="s">
        <v>35</v>
      </c>
      <c r="AB85" s="2" t="s">
        <v>37</v>
      </c>
      <c r="AC85" s="2" t="s">
        <v>36</v>
      </c>
      <c r="AD85" s="2" t="s">
        <v>38</v>
      </c>
      <c r="AE85" s="2" t="s">
        <v>38</v>
      </c>
      <c r="AF85" s="2" t="s">
        <v>39</v>
      </c>
      <c r="AG85" s="2" t="s">
        <v>38</v>
      </c>
    </row>
    <row r="86" spans="2:33" x14ac:dyDescent="0.2">
      <c r="C86" t="s">
        <v>46</v>
      </c>
      <c r="D86" t="s">
        <v>1</v>
      </c>
      <c r="E86" t="s">
        <v>2</v>
      </c>
      <c r="F86" t="s">
        <v>3</v>
      </c>
      <c r="G86" t="s">
        <v>4</v>
      </c>
      <c r="H86" t="s">
        <v>40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14</v>
      </c>
      <c r="R86" t="s">
        <v>15</v>
      </c>
      <c r="S86" t="s">
        <v>16</v>
      </c>
      <c r="T86" t="s">
        <v>17</v>
      </c>
      <c r="U86" t="s">
        <v>18</v>
      </c>
      <c r="V86" t="s">
        <v>19</v>
      </c>
      <c r="W86" t="s">
        <v>20</v>
      </c>
      <c r="X86" t="s">
        <v>21</v>
      </c>
      <c r="Y86" t="s">
        <v>41</v>
      </c>
      <c r="Z86" t="s">
        <v>23</v>
      </c>
      <c r="AA86" t="s">
        <v>42</v>
      </c>
      <c r="AB86" t="s">
        <v>25</v>
      </c>
      <c r="AC86" t="s">
        <v>26</v>
      </c>
      <c r="AD86" t="s">
        <v>27</v>
      </c>
      <c r="AE86" t="s">
        <v>28</v>
      </c>
      <c r="AF86" t="s">
        <v>43</v>
      </c>
      <c r="AG86" t="s">
        <v>30</v>
      </c>
    </row>
    <row r="87" spans="2:33" x14ac:dyDescent="0.2">
      <c r="B87">
        <v>4</v>
      </c>
      <c r="C87" t="s">
        <v>44</v>
      </c>
      <c r="D87">
        <f>COUNTIF(C$3:C$59,$B87)</f>
        <v>29</v>
      </c>
      <c r="E87">
        <f t="shared" ref="E87:AG87" si="4">COUNTIF(D$3:D$59,$B87)</f>
        <v>28</v>
      </c>
      <c r="F87">
        <f t="shared" si="4"/>
        <v>26</v>
      </c>
      <c r="G87">
        <f t="shared" si="4"/>
        <v>22</v>
      </c>
      <c r="H87">
        <f t="shared" si="4"/>
        <v>26</v>
      </c>
      <c r="I87">
        <f>COUNTIF(H$3:H$59,$B87)</f>
        <v>32</v>
      </c>
      <c r="J87">
        <f t="shared" si="4"/>
        <v>32</v>
      </c>
      <c r="K87">
        <f t="shared" si="4"/>
        <v>29</v>
      </c>
      <c r="L87">
        <f t="shared" si="4"/>
        <v>25</v>
      </c>
      <c r="M87">
        <f t="shared" si="4"/>
        <v>22</v>
      </c>
      <c r="N87">
        <f t="shared" si="4"/>
        <v>28</v>
      </c>
      <c r="O87">
        <f t="shared" si="4"/>
        <v>26</v>
      </c>
      <c r="P87">
        <f t="shared" si="4"/>
        <v>24</v>
      </c>
      <c r="Q87">
        <f t="shared" si="4"/>
        <v>25</v>
      </c>
      <c r="R87">
        <f t="shared" si="4"/>
        <v>20</v>
      </c>
      <c r="S87">
        <f t="shared" si="4"/>
        <v>23</v>
      </c>
      <c r="T87">
        <f t="shared" si="4"/>
        <v>20</v>
      </c>
      <c r="U87">
        <f t="shared" si="4"/>
        <v>14</v>
      </c>
      <c r="V87">
        <f t="shared" si="4"/>
        <v>32</v>
      </c>
      <c r="W87">
        <f t="shared" si="4"/>
        <v>23</v>
      </c>
      <c r="X87">
        <f t="shared" si="4"/>
        <v>18</v>
      </c>
      <c r="Y87">
        <f t="shared" si="4"/>
        <v>29</v>
      </c>
      <c r="Z87">
        <f t="shared" si="4"/>
        <v>30</v>
      </c>
      <c r="AA87">
        <f t="shared" si="4"/>
        <v>25</v>
      </c>
      <c r="AB87">
        <f t="shared" si="4"/>
        <v>29</v>
      </c>
      <c r="AC87">
        <f t="shared" si="4"/>
        <v>23</v>
      </c>
      <c r="AD87">
        <f t="shared" si="4"/>
        <v>24</v>
      </c>
      <c r="AE87">
        <f t="shared" si="4"/>
        <v>29</v>
      </c>
      <c r="AF87">
        <f t="shared" si="4"/>
        <v>26</v>
      </c>
      <c r="AG87">
        <f t="shared" si="4"/>
        <v>29</v>
      </c>
    </row>
    <row r="88" spans="2:33" x14ac:dyDescent="0.2">
      <c r="B88">
        <v>5</v>
      </c>
      <c r="C88" t="s">
        <v>45</v>
      </c>
      <c r="D88">
        <f>COUNTIF(C$3:C$59,$B88)</f>
        <v>22</v>
      </c>
      <c r="E88">
        <f t="shared" ref="E88:AG88" si="5">COUNTIF(D$3:D$59,$B88)</f>
        <v>27</v>
      </c>
      <c r="F88">
        <f>COUNTIF(E$3:E$59,$B88)</f>
        <v>17</v>
      </c>
      <c r="G88">
        <f t="shared" si="5"/>
        <v>13</v>
      </c>
      <c r="H88">
        <f t="shared" si="5"/>
        <v>10</v>
      </c>
      <c r="I88">
        <f t="shared" si="5"/>
        <v>13</v>
      </c>
      <c r="J88">
        <f t="shared" si="5"/>
        <v>13</v>
      </c>
      <c r="K88">
        <f t="shared" si="5"/>
        <v>17</v>
      </c>
      <c r="L88">
        <f t="shared" si="5"/>
        <v>7</v>
      </c>
      <c r="M88">
        <f t="shared" si="5"/>
        <v>10</v>
      </c>
      <c r="N88">
        <f t="shared" si="5"/>
        <v>22</v>
      </c>
      <c r="O88">
        <f t="shared" si="5"/>
        <v>15</v>
      </c>
      <c r="P88">
        <f t="shared" si="5"/>
        <v>11</v>
      </c>
      <c r="Q88">
        <f t="shared" si="5"/>
        <v>10</v>
      </c>
      <c r="R88">
        <f t="shared" si="5"/>
        <v>8</v>
      </c>
      <c r="S88">
        <f t="shared" si="5"/>
        <v>12</v>
      </c>
      <c r="T88">
        <f t="shared" si="5"/>
        <v>35</v>
      </c>
      <c r="U88">
        <f t="shared" si="5"/>
        <v>5</v>
      </c>
      <c r="V88">
        <f t="shared" si="5"/>
        <v>7</v>
      </c>
      <c r="W88">
        <f t="shared" si="5"/>
        <v>24</v>
      </c>
      <c r="X88">
        <f t="shared" si="5"/>
        <v>7</v>
      </c>
      <c r="Y88">
        <f t="shared" si="5"/>
        <v>23</v>
      </c>
      <c r="Z88">
        <f t="shared" si="5"/>
        <v>13</v>
      </c>
      <c r="AA88">
        <f t="shared" si="5"/>
        <v>16</v>
      </c>
      <c r="AB88">
        <f t="shared" si="5"/>
        <v>8</v>
      </c>
      <c r="AC88">
        <f t="shared" si="5"/>
        <v>16</v>
      </c>
      <c r="AD88">
        <f t="shared" si="5"/>
        <v>12</v>
      </c>
      <c r="AE88">
        <f t="shared" si="5"/>
        <v>6</v>
      </c>
      <c r="AF88">
        <f t="shared" si="5"/>
        <v>17</v>
      </c>
      <c r="AG88">
        <f t="shared" si="5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Grouped Data</vt:lpstr>
      <vt:lpstr>Communication</vt:lpstr>
      <vt:lpstr>Culture</vt:lpstr>
      <vt:lpstr>Inspiration</vt:lpstr>
      <vt:lpstr>Performance</vt:lpstr>
      <vt:lpstr>Wellbeing</vt:lpstr>
      <vt:lpstr>Highest &amp; Lowest Scores</vt:lpstr>
      <vt:lpstr>Line Graphs per Level</vt:lpstr>
      <vt:lpstr>4,5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 Schecher</dc:creator>
  <cp:lastModifiedBy>Emily Grimmett</cp:lastModifiedBy>
  <dcterms:created xsi:type="dcterms:W3CDTF">2023-05-23T18:20:35Z</dcterms:created>
  <dcterms:modified xsi:type="dcterms:W3CDTF">2025-11-04T03:26:22Z</dcterms:modified>
</cp:coreProperties>
</file>